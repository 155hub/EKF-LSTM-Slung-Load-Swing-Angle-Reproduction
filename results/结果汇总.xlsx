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d459e63dd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ef47cf69f84e4876"/>
    <x:sheet xmlns:r="http://schemas.openxmlformats.org/officeDocument/2006/relationships" name="详细指标" sheetId="2" r:id="Rf7904ab018434d84"/>
    <x:sheet xmlns:r="http://schemas.openxmlformats.org/officeDocument/2006/relationships" name="训练过程" sheetId="3" r:id="Ra2deefbbea7e43d0"/>
    <x:sheet xmlns:r="http://schemas.openxmlformats.org/officeDocument/2006/relationships" name="数据划分" sheetId="4" r:id="R38153d77f2a5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%"/>
    <x:numFmt numFmtId="202" formatCode="#,##0"/>
    <x:numFmt numFmtId="203" formatCode="0.000000"/>
    <x:numFmt numFmtId="204" formatCode="0.0"/>
  </x:numFmts>
  <x:fonts count="8">
    <x:font>
      <x:sz val="11"/>
      <x:name val="Carlito"/>
    </x:font>
    <x:font>
      <x:sz val="10"/>
      <x:color rgb="FF222222"/>
      <x:name val="Arial"/>
    </x:font>
    <x:font>
      <x:b/>
      <x:sz val="15"/>
      <x:color rgb="FF1F4E78"/>
      <x:name val="Arial"/>
    </x:font>
    <x:font>
      <x:b/>
      <x:sz val="10"/>
      <x:color rgb="FF222222"/>
      <x:name val="Arial"/>
    </x:font>
    <x:font>
      <x:b/>
      <x:sz val="12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i/>
      <x:sz val="10"/>
      <x:color rgb="FF5959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3" fillId="2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1" fontId="1" fillId="0" borderId="5" xfId="0" applyNumberFormat="1" applyFont="1" applyFill="1" applyBorder="1"/>
    <x:xf numFmtId="200" fontId="1" fillId="0" borderId="7" xfId="0" applyNumberFormat="1" applyFont="1" applyFill="1" applyBorder="1"/>
    <x:xf numFmtId="201" fontId="1" fillId="0" borderId="8" xfId="0" applyNumberFormat="1" applyFont="1" applyFill="1" applyBorder="1"/>
    <x:xf numFmtId="200" fontId="1" fillId="4" borderId="0" xfId="0" applyNumberFormat="1" applyFont="1" applyFill="1" applyBorder="1"/>
    <x:xf numFmtId="200" fontId="1" fillId="4" borderId="7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5" xfId="0" applyNumberFormat="1" applyFont="1" applyFill="1" applyBorder="1"/>
    <x:xf numFmtId="202" fontId="1" fillId="0" borderId="7" xfId="0" applyNumberFormat="1" applyFont="1" applyFill="1" applyBorder="1"/>
    <x:xf numFmtId="200" fontId="1" fillId="0" borderId="8" xfId="0" applyNumberFormat="1" applyFont="1" applyFill="1" applyBorder="1"/>
    <x:xf numFmtId="0" fontId="1" fillId="2" borderId="0" xfId="0" applyNumberFormat="1" applyFont="1" applyFill="1" applyBorder="1"/>
    <x:xf numFmtId="0" fontId="1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4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0" fontId="1" fillId="4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3" fillId="2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0" fontId="1" fillId="0" borderId="5" xfId="0" applyNumberFormat="1" applyFont="1" applyFill="1" applyBorder="1" applyAlignment="1">
      <x:alignment vertical="center" wrapText="0"/>
    </x:xf>
    <x:xf numFmtId="0" fontId="3" fillId="2" borderId="6" xfId="0" applyNumberFormat="1" applyFont="1" applyFill="1" applyBorder="1" applyAlignment="1">
      <x:alignment vertical="center" wrapText="0"/>
    </x:xf>
    <x:xf numFmtId="200" fontId="1" fillId="0" borderId="7" xfId="0" applyNumberFormat="1" applyFont="1" applyFill="1" applyBorder="1" applyAlignment="1">
      <x:alignment vertical="center" wrapText="0"/>
    </x:xf>
    <x:xf numFmtId="200" fontId="3" fillId="2" borderId="7" xfId="0" applyNumberFormat="1" applyFont="1" applyFill="1" applyBorder="1" applyAlignment="1">
      <x:alignment vertical="center" wrapText="0"/>
    </x:xf>
    <x:xf numFmtId="200" fontId="1" fillId="0" borderId="8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3" borderId="1" xfId="0" applyNumberFormat="1" applyFont="1" applyFill="1" applyBorder="1" applyAlignment="1">
      <x:alignment horizontal="center"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1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200" fontId="1" fillId="4" borderId="7" xfId="0" applyNumberFormat="1" applyFont="1" applyFill="1" applyBorder="1" applyAlignment="1">
      <x:alignment vertical="center" wrapText="0"/>
    </x:xf>
    <x:xf numFmtId="201" fontId="1" fillId="0" borderId="8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37c317daf4b98" /><Relationship Type="http://schemas.openxmlformats.org/officeDocument/2006/relationships/theme" Target="/xl/theme/theme1.xml" Id="R6154ba8f3e604472" /><Relationship Type="http://schemas.openxmlformats.org/officeDocument/2006/relationships/sharedStrings" Target="/xl/sharedStrings.xml" Id="Rc6ad73b5281748e0" /><Relationship Type="http://schemas.openxmlformats.org/officeDocument/2006/relationships/worksheet" Target="/xl/worksheets/sheet1.xml" Id="Ref47cf69f84e4876" /><Relationship Type="http://schemas.openxmlformats.org/officeDocument/2006/relationships/worksheet" Target="/xl/worksheets/sheet2.xml" Id="Rf7904ab018434d84" /><Relationship Type="http://schemas.openxmlformats.org/officeDocument/2006/relationships/worksheet" Target="/xl/worksheets/sheet3.xml" Id="Ra2deefbbea7e43d0" /><Relationship Type="http://schemas.openxmlformats.org/officeDocument/2006/relationships/worksheet" Target="/xl/worksheets/sheet4.xml" Id="R38153d77f2a542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5d23b47bcf41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综合RMSE对比（°）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EKF</c:v>
          </c:tx>
          <c:spPr>
            <a:solidFill xmlns:a="http://schemas.openxmlformats.org/drawingml/2006/main">
              <a:srgbClr val="7F8C8D"/>
            </a:solidFill>
          </c:spPr>
          <c:cat>
            <c:strRef>
              <c:f>'结果汇总'!$H$24:$H$25</c:f>
              <c:strCache>
                <c:ptCount val="0"/>
              </c:strCache>
            </c:strRef>
          </c:cat>
          <c:val>
            <c:numRef>
              <c:f>'结果汇总'!$I$24:$I$25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仓库原EKF-LSTM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'结果汇总'!$H$24:$H$25</c:f>
              <c:strCache>
                <c:ptCount val="0"/>
              </c:strCache>
            </c:strRef>
          </c:cat>
          <c:val>
            <c:numRef>
              <c:f>'结果汇总'!$J$24:$J$25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仅新数据模型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'结果汇总'!$H$24:$H$25</c:f>
              <c:strCache>
                <c:ptCount val="0"/>
              </c:strCache>
            </c:strRef>
          </c:cat>
          <c:val>
            <c:numRef>
              <c:f>'结果汇总'!$K$24:$K$25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混合模型第33轮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'结果汇总'!$H$24:$H$25</c:f>
              <c:strCache>
                <c:ptCount val="0"/>
              </c:strCache>
            </c:strRef>
          </c:cat>
          <c:val>
            <c:numRef>
              <c:f>'结果汇总'!$L$24:$L$25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d23b47bcf41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225e2e38e1449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77"/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78" t="str">
        <x:v>EKF-LSTM吊载摆角估计复现结果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9" t="str">
        <x:v>最终模型</x:v>
      </x:c>
      <x:c r="B3" s="80" t="str">
        <x:v>混合模型第33轮</x:v>
      </x:c>
      <x:c r="C3" s="81" t="str">
        <x:v>实际训练轮数</x:v>
      </x:c>
      <x:c r="D3" s="80" t="n">
        <x:v>35</x:v>
      </x:c>
      <x:c r="E3" s="81" t="str">
        <x:v>选轮依据</x:v>
      </x:c>
      <x:c r="F3" s="82" t="str">
        <x:v>4次新验证飞行</x:v>
      </x:c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3" t="str">
        <x:v>新测试合并RMSE</x:v>
      </x:c>
      <x:c r="B4" s="84" t="n">
        <x:v>0.7043960738164087</x:v>
      </x:c>
      <x:c r="C4" s="85" t="str">
        <x:v>相对EKF改善</x:v>
      </x:c>
      <x:c r="D4" s="86" t="n">
        <x:v>0.623229152889365</x:v>
      </x:c>
      <x:c r="E4" s="85" t="str">
        <x:v>仓库测试RMSE</x:v>
      </x:c>
      <x:c r="F4" s="87" t="n">
        <x:v>2.188862628586971</x:v>
      </x:c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8" t="str">
        <x:v>仓库原模型RMSE</x:v>
      </x:c>
      <x:c r="B5" s="89" t="n">
        <x:v>2.0928749066812897</x:v>
      </x:c>
      <x:c r="C5" s="90" t="str">
        <x:v>仅新数据RMSE</x:v>
      </x:c>
      <x:c r="D5" s="89" t="n">
        <x:v>5.699353481298812</x:v>
      </x:c>
      <x:c r="E5" s="90" t="str">
        <x:v>随机种子</x:v>
      </x:c>
      <x:c r="F5" s="91" t="n">
        <x:v>42</x:v>
      </x:c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7"/>
      <x:c r="B6" s="77"/>
      <x:c r="C6" s="77"/>
      <x:c r="D6" s="77"/>
      <x:c r="E6" s="77"/>
      <x:c r="F6" s="77"/>
      <x:c r="G6" s="77"/>
      <x:c r="H6" s="77"/>
      <x:c r="I6" s="77"/>
      <x:c r="J6" s="77"/>
      <x:c r="K6" s="77"/>
      <x:c r="L6" s="77"/>
      <x:c r="M6" s="77"/>
      <x:c r="N6" s="77"/>
      <x:c r="O6" s="77"/>
      <x:c r="P6" s="77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2" t="str">
        <x:v>各测试数据集综合RMSE（°，越小越好）</x:v>
      </x:c>
      <x:c r="B7" s="77"/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0" customHeight="1">
      <x:c r="A8" s="93" t="str">
        <x:v>测试数据</x:v>
      </x:c>
      <x:c r="B8" s="94" t="str">
        <x:v>EKF</x:v>
      </x:c>
      <x:c r="C8" s="94" t="str">
        <x:v>仓库原EKF-LSTM</x:v>
      </x:c>
      <x:c r="D8" s="94" t="str">
        <x:v>仅新数据模型</x:v>
      </x:c>
      <x:c r="E8" s="94" t="str">
        <x:v>混合模型第33轮</x:v>
      </x:c>
      <x:c r="F8" s="95" t="str">
        <x:v>混合模型相对EKF改善</x:v>
      </x:c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6" t="str">
        <x:v>四次新测试合并</x:v>
      </x:c>
      <x:c r="B9" s="84" t="n">
        <x:v>1.8695609790891536</x:v>
      </x:c>
      <x:c r="C9" s="84" t="n">
        <x:v>2.0586064083533993</x:v>
      </x:c>
      <x:c r="D9" s="84" t="n">
        <x:v>0.8311479152669954</x:v>
      </x:c>
      <x:c r="E9" s="97" t="n">
        <x:v>0.7043960738164087</x:v>
      </x:c>
      <x:c r="F9" s="98" t="n">
        <x:f>(B9-E9)/B9</x:f>
        <x:v>0.623229152889365</x:v>
      </x:c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6" t="str">
        <x:v>test_01</x:v>
      </x:c>
      <x:c r="B10" s="84" t="n">
        <x:v>1.6268253235920351</x:v>
      </x:c>
      <x:c r="C10" s="84" t="n">
        <x:v>2.0833375801283975</x:v>
      </x:c>
      <x:c r="D10" s="84" t="n">
        <x:v>0.6234018472056735</x:v>
      </x:c>
      <x:c r="E10" s="97" t="n">
        <x:v>0.5498186969769019</x:v>
      </x:c>
      <x:c r="F10" s="98" t="n">
        <x:f>(B10-E10)/B10</x:f>
        <x:v>0.6620296666129462</x:v>
      </x:c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6" t="str">
        <x:v>test_02</x:v>
      </x:c>
      <x:c r="B11" s="84" t="n">
        <x:v>2.0986850549653377</x:v>
      </x:c>
      <x:c r="C11" s="84" t="n">
        <x:v>2.222944752019964</x:v>
      </x:c>
      <x:c r="D11" s="84" t="n">
        <x:v>0.510871063807941</x:v>
      </x:c>
      <x:c r="E11" s="97" t="n">
        <x:v>0.45219788517809506</x:v>
      </x:c>
      <x:c r="F11" s="98" t="n">
        <x:f>(B11-E11)/B11</x:f>
        <x:v>0.7845327558281184</x:v>
      </x:c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6" t="str">
        <x:v>test_03</x:v>
      </x:c>
      <x:c r="B12" s="84" t="n">
        <x:v>1.946373937435471</x:v>
      </x:c>
      <x:c r="C12" s="84" t="n">
        <x:v>2.037612223014759</x:v>
      </x:c>
      <x:c r="D12" s="84" t="n">
        <x:v>1.201883134507575</x:v>
      </x:c>
      <x:c r="E12" s="97" t="n">
        <x:v>0.9890684805626647</x:v>
      </x:c>
      <x:c r="F12" s="98" t="n">
        <x:f>(B12-E12)/B12</x:f>
        <x:v>0.4918404621334713</x:v>
      </x:c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6" t="str">
        <x:v>test_04</x:v>
      </x:c>
      <x:c r="B13" s="84" t="n">
        <x:v>1.7724621068976136</x:v>
      </x:c>
      <x:c r="C13" s="84" t="n">
        <x:v>1.8755796339711182</x:v>
      </x:c>
      <x:c r="D13" s="84" t="n">
        <x:v>0.8179763152202107</x:v>
      </x:c>
      <x:c r="E13" s="97" t="n">
        <x:v>0.7068630200289356</x:v>
      </x:c>
      <x:c r="F13" s="98" t="n">
        <x:f>(B13-E13)/B13</x:f>
        <x:v>0.6011971047064153</x:v>
      </x:c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9" t="str">
        <x:v>repository_test</x:v>
      </x:c>
      <x:c r="B14" s="89" t="n">
        <x:v>5.795698520756389</x:v>
      </x:c>
      <x:c r="C14" s="89" t="n">
        <x:v>2.0928749066812897</x:v>
      </x:c>
      <x:c r="D14" s="89" t="n">
        <x:v>5.699353481298812</x:v>
      </x:c>
      <x:c r="E14" s="100" t="n">
        <x:v>2.188862628586971</x:v>
      </x:c>
      <x:c r="F14" s="101" t="n">
        <x:f>(B14-E14)/B14</x:f>
        <x:v>0.6223297984275923</x:v>
      </x:c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7"/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7"/>
      <x:c r="B16" s="77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2" t="str">
        <x:v>说明</x:v>
      </x:c>
      <x:c r="B17" s="103" t="str">
        <x:v>第33轮由4次验证飞行选出；test_01～test_04和repository_test均只用于模型冻结后的测试。</x:v>
      </x:c>
      <x:c r="C17" s="103"/>
      <x:c r="D17" s="103"/>
      <x:c r="E17" s="103"/>
      <x:c r="F17" s="103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77"/>
      <x:c r="B23" s="77"/>
      <x:c r="C23" s="77"/>
      <x:c r="D23" s="77"/>
      <x:c r="E23" s="77"/>
      <x:c r="F23" s="77"/>
      <x:c r="G23" s="77"/>
      <x:c r="H23" s="104" t="str">
        <x:v>测试数据</x:v>
      </x:c>
      <x:c r="I23" s="104" t="str">
        <x:v>EKF</x:v>
      </x:c>
      <x:c r="J23" s="104" t="str">
        <x:v>仓库原EKF-LSTM</x:v>
      </x:c>
      <x:c r="K23" s="104" t="str">
        <x:v>仅新数据模型</x:v>
      </x:c>
      <x:c r="L23" s="104" t="str">
        <x:v>混合模型第33轮</x:v>
      </x:c>
      <x:c r="M23" s="77"/>
      <x:c r="N23" s="77"/>
      <x:c r="O23" s="77"/>
      <x:c r="P23" s="77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77"/>
      <x:c r="B24" s="77"/>
      <x:c r="C24" s="77"/>
      <x:c r="D24" s="77"/>
      <x:c r="E24" s="77"/>
      <x:c r="F24" s="77"/>
      <x:c r="G24" s="77"/>
      <x:c r="H24" s="77" t="str">
        <x:v>四次新测试合并</x:v>
      </x:c>
      <x:c r="I24" s="84" t="n">
        <x:v>1.8695609790891536</x:v>
      </x:c>
      <x:c r="J24" s="84" t="n">
        <x:v>2.0586064083533993</x:v>
      </x:c>
      <x:c r="K24" s="84" t="n">
        <x:v>0.8311479152669954</x:v>
      </x:c>
      <x:c r="L24" s="84" t="n">
        <x:v>0.7043960738164087</x:v>
      </x:c>
      <x:c r="M24" s="77"/>
      <x:c r="N24" s="77"/>
      <x:c r="O24" s="77"/>
      <x:c r="P24" s="77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77"/>
      <x:c r="B25" s="77"/>
      <x:c r="C25" s="77"/>
      <x:c r="D25" s="77"/>
      <x:c r="E25" s="77"/>
      <x:c r="F25" s="77"/>
      <x:c r="G25" s="77"/>
      <x:c r="H25" s="77" t="str">
        <x:v>仓库原测试集</x:v>
      </x:c>
      <x:c r="I25" s="84" t="n">
        <x:v>5.795698520756389</x:v>
      </x:c>
      <x:c r="J25" s="84" t="n">
        <x:v>2.0928749066812897</x:v>
      </x:c>
      <x:c r="K25" s="84" t="n">
        <x:v>5.699353481298812</x:v>
      </x:c>
      <x:c r="L25" s="84" t="n">
        <x:v>2.188862628586971</x:v>
      </x:c>
      <x:c r="M25" s="77"/>
      <x:c r="N25" s="77"/>
      <x:c r="O25" s="77"/>
      <x:c r="P25" s="77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conditionalFormatting sqref="F9:F14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63225e2e38e1449c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8" t="str">
        <x:v>分数据集、分模型详细指标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2" customHeight="1">
      <x:c r="A4" s="47" t="str">
        <x:v>测试数据</x:v>
      </x:c>
      <x:c r="B4" s="48" t="str">
        <x:v>模型</x:v>
      </x:c>
      <x:c r="C4" s="48" t="str">
        <x:v>窗口数</x:v>
      </x:c>
      <x:c r="D4" s="48" t="str">
        <x:v>Xi RMSE（°）</x:v>
      </x:c>
      <x:c r="E4" s="48" t="str">
        <x:v>Zeta RMSE（°）</x:v>
      </x:c>
      <x:c r="F4" s="48" t="str">
        <x:v>综合RMSE（°）</x:v>
      </x:c>
      <x:c r="G4" s="48" t="str">
        <x:v>Xi MAE（°）</x:v>
      </x:c>
      <x:c r="H4" s="48" t="str">
        <x:v>Zeta MAE（°）</x:v>
      </x:c>
      <x:c r="I4" s="48" t="str">
        <x:v>Xi最大绝对误差（°）</x:v>
      </x:c>
      <x:c r="J4" s="49" t="str">
        <x:v>Zeta最大绝对误差（°）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4" t="str">
        <x:v>四次新测试合并</x:v>
      </x:c>
      <x:c r="B5" s="15" t="str">
        <x:v>EKF</x:v>
      </x:c>
      <x:c r="C5" s="105" t="n">
        <x:v>34404</x:v>
      </x:c>
      <x:c r="D5" s="32" t="n">
        <x:v>1.8093129364920588</x:v>
      </x:c>
      <x:c r="E5" s="32" t="n">
        <x:v>1.92792717883951</x:v>
      </x:c>
      <x:c r="F5" s="32" t="n">
        <x:v>1.8695609790891536</x:v>
      </x:c>
      <x:c r="G5" s="32" t="n">
        <x:v>1.218407068177505</x:v>
      </x:c>
      <x:c r="H5" s="32" t="n">
        <x:v>1.2784295433053168</x:v>
      </x:c>
      <x:c r="I5" s="32" t="n">
        <x:v>9.103448018895705</x:v>
      </x:c>
      <x:c r="J5" s="34" t="n">
        <x:v>13.077459918435878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4" t="str">
        <x:v>四次新测试合并</x:v>
      </x:c>
      <x:c r="B6" s="15" t="str">
        <x:v>仓库原EKF-LSTM</x:v>
      </x:c>
      <x:c r="C6" s="105" t="n">
        <x:v>34404</x:v>
      </x:c>
      <x:c r="D6" s="32" t="n">
        <x:v>1.856673478122988</x:v>
      </x:c>
      <x:c r="E6" s="32" t="n">
        <x:v>2.242428211707579</x:v>
      </x:c>
      <x:c r="F6" s="32" t="n">
        <x:v>2.0586064083533993</x:v>
      </x:c>
      <x:c r="G6" s="32" t="n">
        <x:v>1.2546080426731925</x:v>
      </x:c>
      <x:c r="H6" s="32" t="n">
        <x:v>1.3547451454312394</x:v>
      </x:c>
      <x:c r="I6" s="32" t="n">
        <x:v>12.04290823573831</x:v>
      </x:c>
      <x:c r="J6" s="34" t="n">
        <x:v>12.46491685053428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4" t="str">
        <x:v>四次新测试合并</x:v>
      </x:c>
      <x:c r="B7" s="15" t="str">
        <x:v>仅新数据模型</x:v>
      </x:c>
      <x:c r="C7" s="105" t="n">
        <x:v>34404</x:v>
      </x:c>
      <x:c r="D7" s="32" t="n">
        <x:v>0.7225735979190079</x:v>
      </x:c>
      <x:c r="E7" s="32" t="n">
        <x:v>0.9270928269033932</x:v>
      </x:c>
      <x:c r="F7" s="32" t="n">
        <x:v>0.8311479152669954</x:v>
      </x:c>
      <x:c r="G7" s="32" t="n">
        <x:v>0.420525336202311</x:v>
      </x:c>
      <x:c r="H7" s="32" t="n">
        <x:v>0.4726610086870874</x:v>
      </x:c>
      <x:c r="I7" s="32" t="n">
        <x:v>7.1104471576247175</x:v>
      </x:c>
      <x:c r="J7" s="34" t="n">
        <x:v>12.33409548294415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4" t="str">
        <x:v>四次新测试合并</x:v>
      </x:c>
      <x:c r="B8" s="15" t="str">
        <x:v>混合模型第33轮</x:v>
      </x:c>
      <x:c r="C8" s="105" t="n">
        <x:v>34404</x:v>
      </x:c>
      <x:c r="D8" s="32" t="n">
        <x:v>0.6990467517814091</x:v>
      </x:c>
      <x:c r="E8" s="32" t="n">
        <x:v>0.7097050770847027</x:v>
      </x:c>
      <x:c r="F8" s="32" t="n">
        <x:v>0.7043960738164087</x:v>
      </x:c>
      <x:c r="G8" s="32" t="n">
        <x:v>0.3951823044734372</x:v>
      </x:c>
      <x:c r="H8" s="32" t="n">
        <x:v>0.42237223445558886</x:v>
      </x:c>
      <x:c r="I8" s="32" t="n">
        <x:v>6.98616679914662</x:v>
      </x:c>
      <x:c r="J8" s="34" t="n">
        <x:v>8.048137610076566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4" t="str">
        <x:v>test_01</x:v>
      </x:c>
      <x:c r="B9" s="15" t="str">
        <x:v>EKF</x:v>
      </x:c>
      <x:c r="C9" s="105" t="n">
        <x:v>8601</x:v>
      </x:c>
      <x:c r="D9" s="32" t="n">
        <x:v>1.578554340559603</x:v>
      </x:c>
      <x:c r="E9" s="32" t="n">
        <x:v>1.6737047113696897</x:v>
      </x:c>
      <x:c r="F9" s="32" t="n">
        <x:v>1.6268253235920351</x:v>
      </x:c>
      <x:c r="G9" s="32" t="n">
        <x:v>1.1250214081821774</x:v>
      </x:c>
      <x:c r="H9" s="32" t="n">
        <x:v>1.1442304704193056</x:v>
      </x:c>
      <x:c r="I9" s="32" t="n">
        <x:v>5.956585319362748</x:v>
      </x:c>
      <x:c r="J9" s="34" t="n">
        <x:v>6.7003143997853005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4" t="str">
        <x:v>test_01</x:v>
      </x:c>
      <x:c r="B10" s="15" t="str">
        <x:v>仓库原EKF-LSTM</x:v>
      </x:c>
      <x:c r="C10" s="105" t="n">
        <x:v>8601</x:v>
      </x:c>
      <x:c r="D10" s="32" t="n">
        <x:v>1.7781860424584441</x:v>
      </x:c>
      <x:c r="E10" s="32" t="n">
        <x:v>2.349179717253763</x:v>
      </x:c>
      <x:c r="F10" s="32" t="n">
        <x:v>2.0833375801283975</x:v>
      </x:c>
      <x:c r="G10" s="32" t="n">
        <x:v>1.3001124027381736</x:v>
      </x:c>
      <x:c r="H10" s="32" t="n">
        <x:v>1.5330611064542305</x:v>
      </x:c>
      <x:c r="I10" s="32" t="n">
        <x:v>6.610858223039379</x:v>
      </x:c>
      <x:c r="J10" s="34" t="n">
        <x:v>11.219202951820096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4" t="str">
        <x:v>test_01</x:v>
      </x:c>
      <x:c r="B11" s="15" t="str">
        <x:v>仅新数据模型</x:v>
      </x:c>
      <x:c r="C11" s="105" t="n">
        <x:v>8601</x:v>
      </x:c>
      <x:c r="D11" s="32" t="n">
        <x:v>0.6066079118396348</x:v>
      </x:c>
      <x:c r="E11" s="32" t="n">
        <x:v>0.6397550839910924</x:v>
      </x:c>
      <x:c r="F11" s="32" t="n">
        <x:v>0.6234018472056735</x:v>
      </x:c>
      <x:c r="G11" s="32" t="n">
        <x:v>0.3901480252331527</x:v>
      </x:c>
      <x:c r="H11" s="32" t="n">
        <x:v>0.41788430113308717</x:v>
      </x:c>
      <x:c r="I11" s="32" t="n">
        <x:v>3.8171847223866484</x:v>
      </x:c>
      <x:c r="J11" s="34" t="n">
        <x:v>2.855645917768129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4" t="str">
        <x:v>test_01</x:v>
      </x:c>
      <x:c r="B12" s="15" t="str">
        <x:v>混合模型第33轮</x:v>
      </x:c>
      <x:c r="C12" s="105" t="n">
        <x:v>8601</x:v>
      </x:c>
      <x:c r="D12" s="32" t="n">
        <x:v>0.5818226161294564</x:v>
      </x:c>
      <x:c r="E12" s="32" t="n">
        <x:v>0.515832959833929</x:v>
      </x:c>
      <x:c r="F12" s="32" t="n">
        <x:v>0.5498186969769019</x:v>
      </x:c>
      <x:c r="G12" s="32" t="n">
        <x:v>0.3842354739858831</x:v>
      </x:c>
      <x:c r="H12" s="32" t="n">
        <x:v>0.34935306203181876</x:v>
      </x:c>
      <x:c r="I12" s="32" t="n">
        <x:v>3.294308606353656</x:v>
      </x:c>
      <x:c r="J12" s="34" t="n">
        <x:v>2.8981621304968357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4" t="str">
        <x:v>test_02</x:v>
      </x:c>
      <x:c r="B13" s="15" t="str">
        <x:v>EKF</x:v>
      </x:c>
      <x:c r="C13" s="105" t="n">
        <x:v>8601</x:v>
      </x:c>
      <x:c r="D13" s="32" t="n">
        <x:v>2.120055278319122</x:v>
      </x:c>
      <x:c r="E13" s="32" t="n">
        <x:v>2.077094975378101</x:v>
      </x:c>
      <x:c r="F13" s="32" t="n">
        <x:v>2.0986850549653377</x:v>
      </x:c>
      <x:c r="G13" s="32" t="n">
        <x:v>1.3970556668456033</x:v>
      </x:c>
      <x:c r="H13" s="32" t="n">
        <x:v>1.4452882961128428</x:v>
      </x:c>
      <x:c r="I13" s="32" t="n">
        <x:v>6.859248776727233</x:v>
      </x:c>
      <x:c r="J13" s="34" t="n">
        <x:v>5.96617420046833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4" t="str">
        <x:v>test_02</x:v>
      </x:c>
      <x:c r="B14" s="15" t="str">
        <x:v>仓库原EKF-LSTM</x:v>
      </x:c>
      <x:c r="C14" s="105" t="n">
        <x:v>8601</x:v>
      </x:c>
      <x:c r="D14" s="32" t="n">
        <x:v>1.930598150939256</x:v>
      </x:c>
      <x:c r="E14" s="32" t="n">
        <x:v>2.4810799101714</x:v>
      </x:c>
      <x:c r="F14" s="32" t="n">
        <x:v>2.222944752019964</x:v>
      </x:c>
      <x:c r="G14" s="32" t="n">
        <x:v>1.3033708289517993</x:v>
      </x:c>
      <x:c r="H14" s="32" t="n">
        <x:v>1.3156975670878013</x:v>
      </x:c>
      <x:c r="I14" s="32" t="n">
        <x:v>7.154640014324007</x:v>
      </x:c>
      <x:c r="J14" s="34" t="n">
        <x:v>12.417767967623544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4" t="str">
        <x:v>test_02</x:v>
      </x:c>
      <x:c r="B15" s="15" t="str">
        <x:v>仅新数据模型</x:v>
      </x:c>
      <x:c r="C15" s="105" t="n">
        <x:v>8601</x:v>
      </x:c>
      <x:c r="D15" s="32" t="n">
        <x:v>0.46681539244902615</x:v>
      </x:c>
      <x:c r="E15" s="32" t="n">
        <x:v>0.5514180601369313</x:v>
      </x:c>
      <x:c r="F15" s="32" t="n">
        <x:v>0.510871063807941</x:v>
      </x:c>
      <x:c r="G15" s="32" t="n">
        <x:v>0.3326686213538092</x:v>
      </x:c>
      <x:c r="H15" s="32" t="n">
        <x:v>0.3660619579766896</x:v>
      </x:c>
      <x:c r="I15" s="32" t="n">
        <x:v>2.470613327856297</x:v>
      </x:c>
      <x:c r="J15" s="34" t="n">
        <x:v>2.740705083366617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4" t="str">
        <x:v>test_02</x:v>
      </x:c>
      <x:c r="B16" s="15" t="str">
        <x:v>混合模型第33轮</x:v>
      </x:c>
      <x:c r="C16" s="105" t="n">
        <x:v>8601</x:v>
      </x:c>
      <x:c r="D16" s="32" t="n">
        <x:v>0.4352112349682801</x:v>
      </x:c>
      <x:c r="E16" s="32" t="n">
        <x:v>0.46856913649585125</x:v>
      </x:c>
      <x:c r="F16" s="32" t="n">
        <x:v>0.45219788517809506</x:v>
      </x:c>
      <x:c r="G16" s="32" t="n">
        <x:v>0.29349936034646745</x:v>
      </x:c>
      <x:c r="H16" s="32" t="n">
        <x:v>0.332078082229132</x:v>
      </x:c>
      <x:c r="I16" s="32" t="n">
        <x:v>2.590781232393944</x:v>
      </x:c>
      <x:c r="J16" s="34" t="n">
        <x:v>2.2389694320936755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4" t="str">
        <x:v>test_03</x:v>
      </x:c>
      <x:c r="B17" s="15" t="str">
        <x:v>EKF</x:v>
      </x:c>
      <x:c r="C17" s="105" t="n">
        <x:v>8601</x:v>
      </x:c>
      <x:c r="D17" s="32" t="n">
        <x:v>1.8146014502842756</x:v>
      </x:c>
      <x:c r="E17" s="32" t="n">
        <x:v>2.0697740420834156</x:v>
      </x:c>
      <x:c r="F17" s="32" t="n">
        <x:v>1.946373937435471</x:v>
      </x:c>
      <x:c r="G17" s="32" t="n">
        <x:v>1.2318966943156828</x:v>
      </x:c>
      <x:c r="H17" s="32" t="n">
        <x:v>1.267191805129102</x:v>
      </x:c>
      <x:c r="I17" s="32" t="n">
        <x:v>9.103448018895705</x:v>
      </x:c>
      <x:c r="J17" s="34" t="n">
        <x:v>13.077459918435878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4" t="str">
        <x:v>test_03</x:v>
      </x:c>
      <x:c r="B18" s="15" t="str">
        <x:v>仓库原EKF-LSTM</x:v>
      </x:c>
      <x:c r="C18" s="105" t="n">
        <x:v>8601</x:v>
      </x:c>
      <x:c r="D18" s="32" t="n">
        <x:v>1.8602240741165046</x:v>
      </x:c>
      <x:c r="E18" s="32" t="n">
        <x:v>2.2007484038016902</x:v>
      </x:c>
      <x:c r="F18" s="32" t="n">
        <x:v>2.037612223014759</x:v>
      </x:c>
      <x:c r="G18" s="32" t="n">
        <x:v>1.1785239511189658</x:v>
      </x:c>
      <x:c r="H18" s="32" t="n">
        <x:v>1.354189522119489</x:v>
      </x:c>
      <x:c r="I18" s="32" t="n">
        <x:v>12.04290823573831</x:v>
      </x:c>
      <x:c r="J18" s="34" t="n">
        <x:v>12.46491685053428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4" t="str">
        <x:v>test_03</x:v>
      </x:c>
      <x:c r="B19" s="15" t="str">
        <x:v>仅新数据模型</x:v>
      </x:c>
      <x:c r="C19" s="105" t="n">
        <x:v>8601</x:v>
      </x:c>
      <x:c r="D19" s="32" t="n">
        <x:v>0.9789712101687256</x:v>
      </x:c>
      <x:c r="E19" s="32" t="n">
        <x:v>1.3894824603744693</x:v>
      </x:c>
      <x:c r="F19" s="32" t="n">
        <x:v>1.201883134507575</x:v>
      </x:c>
      <x:c r="G19" s="32" t="n">
        <x:v>0.556378479133725</x:v>
      </x:c>
      <x:c r="H19" s="32" t="n">
        <x:v>0.6272057713123633</x:v>
      </x:c>
      <x:c r="I19" s="32" t="n">
        <x:v>7.1104471576247175</x:v>
      </x:c>
      <x:c r="J19" s="34" t="n">
        <x:v>12.33409548294415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4" t="str">
        <x:v>test_03</x:v>
      </x:c>
      <x:c r="B20" s="15" t="str">
        <x:v>混合模型第33轮</x:v>
      </x:c>
      <x:c r="C20" s="105" t="n">
        <x:v>8601</x:v>
      </x:c>
      <x:c r="D20" s="32" t="n">
        <x:v>0.9817050162199004</x:v>
      </x:c>
      <x:c r="E20" s="32" t="n">
        <x:v>0.9963775286575675</x:v>
      </x:c>
      <x:c r="F20" s="32" t="n">
        <x:v>0.9890684805626647</x:v>
      </x:c>
      <x:c r="G20" s="32" t="n">
        <x:v>0.5319356466535023</x:v>
      </x:c>
      <x:c r="H20" s="32" t="n">
        <x:v>0.5382716107360337</x:v>
      </x:c>
      <x:c r="I20" s="32" t="n">
        <x:v>6.98616679914662</x:v>
      </x:c>
      <x:c r="J20" s="34" t="n">
        <x:v>8.048137610076566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4" t="str">
        <x:v>test_04</x:v>
      </x:c>
      <x:c r="B21" s="15" t="str">
        <x:v>EKF</x:v>
      </x:c>
      <x:c r="C21" s="105" t="n">
        <x:v>8601</x:v>
      </x:c>
      <x:c r="D21" s="32" t="n">
        <x:v>1.6778577401043093</x:v>
      </x:c>
      <x:c r="E21" s="32" t="n">
        <x:v>1.86226669538708</x:v>
      </x:c>
      <x:c r="F21" s="32" t="n">
        <x:v>1.7724621068976136</x:v>
      </x:c>
      <x:c r="G21" s="32" t="n">
        <x:v>1.1196545033666185</x:v>
      </x:c>
      <x:c r="H21" s="32" t="n">
        <x:v>1.2570076015600498</x:v>
      </x:c>
      <x:c r="I21" s="32" t="n">
        <x:v>8.061122973414271</x:v>
      </x:c>
      <x:c r="J21" s="34" t="n">
        <x:v>9.150586223196285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4" t="str">
        <x:v>test_04</x:v>
      </x:c>
      <x:c r="B22" s="15" t="str">
        <x:v>仓库原EKF-LSTM</x:v>
      </x:c>
      <x:c r="C22" s="105" t="n">
        <x:v>8601</x:v>
      </x:c>
      <x:c r="D22" s="32" t="n">
        <x:v>1.8545504009151514</x:v>
      </x:c>
      <x:c r="E22" s="32" t="n">
        <x:v>1.8963756846152393</x:v>
      </x:c>
      <x:c r="F22" s="32" t="n">
        <x:v>1.8755796339711182</x:v>
      </x:c>
      <x:c r="G22" s="32" t="n">
        <x:v>1.2364249878838092</x:v>
      </x:c>
      <x:c r="H22" s="32" t="n">
        <x:v>1.216032386063427</x:v>
      </x:c>
      <x:c r="I22" s="32" t="n">
        <x:v>10.675180037450163</x:v>
      </x:c>
      <x:c r="J22" s="34" t="n">
        <x:v>9.742792342435706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4" t="str">
        <x:v>test_04</x:v>
      </x:c>
      <x:c r="B23" s="15" t="str">
        <x:v>仅新数据模型</x:v>
      </x:c>
      <x:c r="C23" s="105" t="n">
        <x:v>8601</x:v>
      </x:c>
      <x:c r="D23" s="32" t="n">
        <x:v>0.7376828708635449</x:v>
      </x:c>
      <x:c r="E23" s="32" t="n">
        <x:v>0.8910636826607768</x:v>
      </x:c>
      <x:c r="F23" s="32" t="n">
        <x:v>0.8179763152202107</x:v>
      </x:c>
      <x:c r="G23" s="32" t="n">
        <x:v>0.40290621908854113</x:v>
      </x:c>
      <x:c r="H23" s="32" t="n">
        <x:v>0.47949200432620503</x:v>
      </x:c>
      <x:c r="I23" s="32" t="n">
        <x:v>5.77875931438353</x:v>
      </x:c>
      <x:c r="J23" s="34" t="n">
        <x:v>7.47617659912482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4" t="str">
        <x:v>test_04</x:v>
      </x:c>
      <x:c r="B24" s="15" t="str">
        <x:v>混合模型第33轮</x:v>
      </x:c>
      <x:c r="C24" s="105" t="n">
        <x:v>8601</x:v>
      </x:c>
      <x:c r="D24" s="32" t="n">
        <x:v>0.6804368671308901</x:v>
      </x:c>
      <x:c r="E24" s="32" t="n">
        <x:v>0.7323362124174623</x:v>
      </x:c>
      <x:c r="F24" s="32" t="n">
        <x:v>0.7068630200289356</x:v>
      </x:c>
      <x:c r="G24" s="32" t="n">
        <x:v>0.37105873690788005</x:v>
      </x:c>
      <x:c r="H24" s="32" t="n">
        <x:v>0.4697861828253623</x:v>
      </x:c>
      <x:c r="I24" s="32" t="n">
        <x:v>4.748575427319565</x:v>
      </x:c>
      <x:c r="J24" s="34" t="n">
        <x:v>4.694605727980747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4" t="str">
        <x:v>repository_test</x:v>
      </x:c>
      <x:c r="B25" s="15" t="str">
        <x:v>EKF</x:v>
      </x:c>
      <x:c r="C25" s="105" t="n">
        <x:v>10393</x:v>
      </x:c>
      <x:c r="D25" s="32" t="n">
        <x:v>6.981311633093831</x:v>
      </x:c>
      <x:c r="E25" s="32" t="n">
        <x:v>4.2943603212381145</x:v>
      </x:c>
      <x:c r="F25" s="32" t="n">
        <x:v>5.795698520756389</x:v>
      </x:c>
      <x:c r="G25" s="32" t="n">
        <x:v>2.7554722767087143</x:v>
      </x:c>
      <x:c r="H25" s="32" t="n">
        <x:v>2.2973459665310805</x:v>
      </x:c>
      <x:c r="I25" s="32" t="n">
        <x:v>92.83892368293738</x:v>
      </x:c>
      <x:c r="J25" s="34" t="n">
        <x:v>35.86974296404738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4" t="str">
        <x:v>repository_test</x:v>
      </x:c>
      <x:c r="B26" s="15" t="str">
        <x:v>仓库原EKF-LSTM</x:v>
      </x:c>
      <x:c r="C26" s="105" t="n">
        <x:v>10393</x:v>
      </x:c>
      <x:c r="D26" s="32" t="n">
        <x:v>2.232326833351323</x:v>
      </x:c>
      <x:c r="E26" s="32" t="n">
        <x:v>1.943442219139044</x:v>
      </x:c>
      <x:c r="F26" s="32" t="n">
        <x:v>2.0928749066812897</x:v>
      </x:c>
      <x:c r="G26" s="32" t="n">
        <x:v>1.0938186723368764</x:v>
      </x:c>
      <x:c r="H26" s="32" t="n">
        <x:v>1.007723901359582</x:v>
      </x:c>
      <x:c r="I26" s="32" t="n">
        <x:v>56.026808220105345</x:v>
      </x:c>
      <x:c r="J26" s="34" t="n">
        <x:v>16.962368590417483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4" t="str">
        <x:v>repository_test</x:v>
      </x:c>
      <x:c r="B27" s="15" t="str">
        <x:v>仅新数据模型</x:v>
      </x:c>
      <x:c r="C27" s="105" t="n">
        <x:v>10393</x:v>
      </x:c>
      <x:c r="D27" s="32" t="n">
        <x:v>6.951029300798722</x:v>
      </x:c>
      <x:c r="E27" s="32" t="n">
        <x:v>4.080251446788959</x:v>
      </x:c>
      <x:c r="F27" s="32" t="n">
        <x:v>5.699353481298812</x:v>
      </x:c>
      <x:c r="G27" s="32" t="n">
        <x:v>2.2924735853383496</x:v>
      </x:c>
      <x:c r="H27" s="32" t="n">
        <x:v>2.0300114116306913</x:v>
      </x:c>
      <x:c r="I27" s="32" t="n">
        <x:v>94.56619737652585</x:v>
      </x:c>
      <x:c r="J27" s="34" t="n">
        <x:v>30.919396802785556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7" t="str">
        <x:v>repository_test</x:v>
      </x:c>
      <x:c r="B28" s="18" t="str">
        <x:v>混合模型第33轮</x:v>
      </x:c>
      <x:c r="C28" s="106" t="n">
        <x:v>10393</x:v>
      </x:c>
      <x:c r="D28" s="35" t="n">
        <x:v>2.310209515531631</x:v>
      </x:c>
      <x:c r="E28" s="35" t="n">
        <x:v>2.0603813258706345</x:v>
      </x:c>
      <x:c r="F28" s="35" t="n">
        <x:v>2.188862628586971</x:v>
      </x:c>
      <x:c r="G28" s="35" t="n">
        <x:v>0.913374124573449</x:v>
      </x:c>
      <x:c r="H28" s="35" t="n">
        <x:v>0.907506189871869</x:v>
      </x:c>
      <x:c r="I28" s="35" t="n">
        <x:v>60.28993459339636</x:v>
      </x:c>
      <x:c r="J28" s="37" t="n">
        <x:v>18.74399815204203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conditionalFormatting sqref="F5:F28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3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8" t="str">
        <x:v>两次LSTM训练过程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7" t="str">
        <x:v>仅新数据模型：完整训练50轮，验证集最佳第39轮</x:v>
      </x:c>
      <x:c r="B3" s="107"/>
      <x:c r="C3" s="107"/>
      <x:c r="D3" s="107"/>
      <x:c r="E3" s="107"/>
      <x:c r="F3" s="74"/>
      <x:c r="G3" s="108" t="str">
        <x:v>混合模型：原计划50轮，实际完成35轮，验证集最佳第33轮</x:v>
      </x:c>
      <x:c r="H3" s="108"/>
      <x:c r="I3" s="108"/>
      <x:c r="J3" s="108"/>
      <x:c r="K3" s="108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76" t="str">
        <x:v>轮次</x:v>
      </x:c>
      <x:c r="B4" s="76" t="str">
        <x:v>训练MSE</x:v>
      </x:c>
      <x:c r="C4" s="76" t="str">
        <x:v>验证MSE</x:v>
      </x:c>
      <x:c r="D4" s="76" t="str">
        <x:v>耗时（s）</x:v>
      </x:c>
      <x:c r="E4" s="76" t="str">
        <x:v>是否最佳轮次</x:v>
      </x:c>
      <x:c r="F4" s="15"/>
      <x:c r="G4" s="76" t="str">
        <x:v>轮次</x:v>
      </x:c>
      <x:c r="H4" s="76" t="str">
        <x:v>训练MSE</x:v>
      </x:c>
      <x:c r="I4" s="76" t="str">
        <x:v>验证MSE</x:v>
      </x:c>
      <x:c r="J4" s="76" t="str">
        <x:v>耗时（s）</x:v>
      </x:c>
      <x:c r="K4" s="76" t="str">
        <x:v>是否最佳轮次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 t="n">
        <x:v>1</x:v>
      </x:c>
      <x:c r="B5" s="109" t="n">
        <x:v>0.09363448964296531</x:v>
      </x:c>
      <x:c r="C5" s="109" t="n">
        <x:v>0.04637024215688035</x:v>
      </x:c>
      <x:c r="D5" s="110" t="n">
        <x:v>15.589719060999983</x:v>
      </x:c>
      <x:c r="E5" s="15" t="str"/>
      <x:c r="F5" s="15"/>
      <x:c r="G5" s="15" t="n">
        <x:v>1</x:v>
      </x:c>
      <x:c r="H5" s="109" t="n">
        <x:v>0.11744263161125414</x:v>
      </x:c>
      <x:c r="I5" s="109" t="n">
        <x:v>0.04440401526112197</x:v>
      </x:c>
      <x:c r="J5" s="110" t="n">
        <x:v>18.522423106000005</x:v>
      </x:c>
      <x:c r="K5" s="15" t="str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" t="n">
        <x:v>2</x:v>
      </x:c>
      <x:c r="B6" s="109" t="n">
        <x:v>0.05724883652065344</x:v>
      </x:c>
      <x:c r="C6" s="109" t="n">
        <x:v>0.04347966440840655</x:v>
      </x:c>
      <x:c r="D6" s="110" t="n">
        <x:v>9.260558568999954</x:v>
      </x:c>
      <x:c r="E6" s="15" t="str"/>
      <x:c r="F6" s="15"/>
      <x:c r="G6" s="15" t="n">
        <x:v>2</x:v>
      </x:c>
      <x:c r="H6" s="109" t="n">
        <x:v>0.0502105688479969</x:v>
      </x:c>
      <x:c r="I6" s="109" t="n">
        <x:v>0.0433509251567552</x:v>
      </x:c>
      <x:c r="J6" s="110" t="n">
        <x:v>14.039082141999998</x:v>
      </x:c>
      <x:c r="K6" s="15" t="str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n">
        <x:v>3</x:v>
      </x:c>
      <x:c r="B7" s="109" t="n">
        <x:v>0.05597076275649147</x:v>
      </x:c>
      <x:c r="C7" s="109" t="n">
        <x:v>0.04296111440194423</x:v>
      </x:c>
      <x:c r="D7" s="110" t="n">
        <x:v>9.35614927100005</x:v>
      </x:c>
      <x:c r="E7" s="15" t="str"/>
      <x:c r="F7" s="15"/>
      <x:c r="G7" s="15" t="n">
        <x:v>3</x:v>
      </x:c>
      <x:c r="H7" s="109" t="n">
        <x:v>0.043219200877317475</x:v>
      </x:c>
      <x:c r="I7" s="109" t="n">
        <x:v>0.042735937047222915</x:v>
      </x:c>
      <x:c r="J7" s="110" t="n">
        <x:v>14.039280597000001</x:v>
      </x:c>
      <x:c r="K7" s="15" t="str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n">
        <x:v>4</x:v>
      </x:c>
      <x:c r="B8" s="109" t="n">
        <x:v>0.05553936686614976</x:v>
      </x:c>
      <x:c r="C8" s="109" t="n">
        <x:v>0.0426591196042877</x:v>
      </x:c>
      <x:c r="D8" s="110" t="n">
        <x:v>9.362707452999985</x:v>
      </x:c>
      <x:c r="E8" s="15" t="str"/>
      <x:c r="F8" s="15"/>
      <x:c r="G8" s="15" t="n">
        <x:v>4</x:v>
      </x:c>
      <x:c r="H8" s="109" t="n">
        <x:v>0.03980419587208785</x:v>
      </x:c>
      <x:c r="I8" s="109" t="n">
        <x:v>0.042411482744307165</x:v>
      </x:c>
      <x:c r="J8" s="110" t="n">
        <x:v>14.115288910999993</x:v>
      </x:c>
      <x:c r="K8" s="15" t="str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n">
        <x:v>5</x:v>
      </x:c>
      <x:c r="B9" s="109" t="n">
        <x:v>0.055315545649583804</x:v>
      </x:c>
      <x:c r="C9" s="109" t="n">
        <x:v>0.042526024796314926</x:v>
      </x:c>
      <x:c r="D9" s="110" t="n">
        <x:v>9.347307547000014</x:v>
      </x:c>
      <x:c r="E9" s="15" t="str"/>
      <x:c r="F9" s="15"/>
      <x:c r="G9" s="15" t="n">
        <x:v>5</x:v>
      </x:c>
      <x:c r="H9" s="109" t="n">
        <x:v>0.037981856352894104</x:v>
      </x:c>
      <x:c r="I9" s="109" t="n">
        <x:v>0.042224138819146426</x:v>
      </x:c>
      <x:c r="J9" s="110" t="n">
        <x:v>14.119286099999982</x:v>
      </x:c>
      <x:c r="K9" s="15" t="str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n">
        <x:v>6</x:v>
      </x:c>
      <x:c r="B10" s="109" t="n">
        <x:v>0.05518717503872684</x:v>
      </x:c>
      <x:c r="C10" s="109" t="n">
        <x:v>0.04244690340419174</x:v>
      </x:c>
      <x:c r="D10" s="110" t="n">
        <x:v>9.427047428000037</x:v>
      </x:c>
      <x:c r="E10" s="15" t="str"/>
      <x:c r="F10" s="15"/>
      <x:c r="G10" s="15" t="n">
        <x:v>6</x:v>
      </x:c>
      <x:c r="H10" s="109" t="n">
        <x:v>0.037132328496602564</x:v>
      </x:c>
      <x:c r="I10" s="109" t="n">
        <x:v>0.04215596676110858</x:v>
      </x:c>
      <x:c r="J10" s="110" t="n">
        <x:v>14.179223283999988</x:v>
      </x:c>
      <x:c r="K10" s="15" t="str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n">
        <x:v>7</x:v>
      </x:c>
      <x:c r="B11" s="109" t="n">
        <x:v>0.05509684171023902</x:v>
      </x:c>
      <x:c r="C11" s="109" t="n">
        <x:v>0.042375348809120424</x:v>
      </x:c>
      <x:c r="D11" s="110" t="n">
        <x:v>9.388449402999981</x:v>
      </x:c>
      <x:c r="E11" s="15" t="str"/>
      <x:c r="F11" s="15"/>
      <x:c r="G11" s="15" t="n">
        <x:v>7</x:v>
      </x:c>
      <x:c r="H11" s="109" t="n">
        <x:v>0.036655003889593064</x:v>
      </x:c>
      <x:c r="I11" s="109" t="n">
        <x:v>0.042094530406274644</x:v>
      </x:c>
      <x:c r="J11" s="110" t="n">
        <x:v>14.146432939999983</x:v>
      </x:c>
      <x:c r="K11" s="15" t="str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5" t="n">
        <x:v>8</x:v>
      </x:c>
      <x:c r="B12" s="109" t="n">
        <x:v>0.05502659197987242</x:v>
      </x:c>
      <x:c r="C12" s="109" t="n">
        <x:v>0.04232713581567435</x:v>
      </x:c>
      <x:c r="D12" s="110" t="n">
        <x:v>9.407997328999954</x:v>
      </x:c>
      <x:c r="E12" s="15" t="str"/>
      <x:c r="F12" s="15"/>
      <x:c r="G12" s="15" t="n">
        <x:v>8</x:v>
      </x:c>
      <x:c r="H12" s="109" t="n">
        <x:v>0.036361963019091795</x:v>
      </x:c>
      <x:c r="I12" s="109" t="n">
        <x:v>0.0420401432045106</x:v>
      </x:c>
      <x:c r="J12" s="110" t="n">
        <x:v>14.189870692</x:v>
      </x:c>
      <x:c r="K12" s="15" t="str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" t="n">
        <x:v>9</x:v>
      </x:c>
      <x:c r="B13" s="109" t="n">
        <x:v>0.05497011779870852</x:v>
      </x:c>
      <x:c r="C13" s="109" t="n">
        <x:v>0.0422775838649252</x:v>
      </x:c>
      <x:c r="D13" s="110" t="n">
        <x:v>9.445871185999977</x:v>
      </x:c>
      <x:c r="E13" s="15" t="str"/>
      <x:c r="F13" s="15"/>
      <x:c r="G13" s="15" t="n">
        <x:v>9</x:v>
      </x:c>
      <x:c r="H13" s="109" t="n">
        <x:v>0.03614546195428062</x:v>
      </x:c>
      <x:c r="I13" s="109" t="n">
        <x:v>0.041968132248024086</x:v>
      </x:c>
      <x:c r="J13" s="110" t="n">
        <x:v>14.17858752699999</x:v>
      </x:c>
      <x:c r="K13" s="15" t="str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5" t="n">
        <x:v>10</x:v>
      </x:c>
      <x:c r="B14" s="109" t="n">
        <x:v>0.05492350456552053</x:v>
      </x:c>
      <x:c r="C14" s="109" t="n">
        <x:v>0.042237519236882654</x:v>
      </x:c>
      <x:c r="D14" s="110" t="n">
        <x:v>9.387747054999977</x:v>
      </x:c>
      <x:c r="E14" s="15" t="str"/>
      <x:c r="F14" s="15"/>
      <x:c r="G14" s="15" t="n">
        <x:v>10</x:v>
      </x:c>
      <x:c r="H14" s="109" t="n">
        <x:v>0.03598773077073505</x:v>
      </x:c>
      <x:c r="I14" s="109" t="n">
        <x:v>0.041952062394012925</x:v>
      </x:c>
      <x:c r="J14" s="110" t="n">
        <x:v>14.15891843899999</x:v>
      </x:c>
      <x:c r="K14" s="15" t="str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5" t="n">
        <x:v>11</x:v>
      </x:c>
      <x:c r="B15" s="109" t="n">
        <x:v>0.054883937497043206</x:v>
      </x:c>
      <x:c r="C15" s="109" t="n">
        <x:v>0.042198844603049665</x:v>
      </x:c>
      <x:c r="D15" s="110" t="n">
        <x:v>9.387271785000053</x:v>
      </x:c>
      <x:c r="E15" s="15" t="str"/>
      <x:c r="F15" s="15"/>
      <x:c r="G15" s="15" t="n">
        <x:v>11</x:v>
      </x:c>
      <x:c r="H15" s="109" t="n">
        <x:v>0.03586489750675804</x:v>
      </x:c>
      <x:c r="I15" s="109" t="n">
        <x:v>0.04191407724968469</x:v>
      </x:c>
      <x:c r="J15" s="110" t="n">
        <x:v>14.173487418000008</x:v>
      </x:c>
      <x:c r="K15" s="15" t="str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n">
        <x:v>12</x:v>
      </x:c>
      <x:c r="B16" s="109" t="n">
        <x:v>0.05484963124142582</x:v>
      </x:c>
      <x:c r="C16" s="109" t="n">
        <x:v>0.04216501172502905</x:v>
      </x:c>
      <x:c r="D16" s="110" t="n">
        <x:v>9.357668796999974</x:v>
      </x:c>
      <x:c r="E16" s="15" t="str"/>
      <x:c r="F16" s="15"/>
      <x:c r="G16" s="15" t="n">
        <x:v>12</x:v>
      </x:c>
      <x:c r="H16" s="109" t="n">
        <x:v>0.03577694895027868</x:v>
      </x:c>
      <x:c r="I16" s="109" t="n">
        <x:v>0.04190113553823602</x:v>
      </x:c>
      <x:c r="J16" s="110" t="n">
        <x:v>14.191334181000002</x:v>
      </x:c>
      <x:c r="K16" s="15" t="str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5" t="n">
        <x:v>13</x:v>
      </x:c>
      <x:c r="B17" s="109" t="n">
        <x:v>0.05481974163835804</x:v>
      </x:c>
      <x:c r="C17" s="109" t="n">
        <x:v>0.04213469503215084</x:v>
      </x:c>
      <x:c r="D17" s="110" t="n">
        <x:v>9.45960156800004</x:v>
      </x:c>
      <x:c r="E17" s="15" t="str"/>
      <x:c r="F17" s="15"/>
      <x:c r="G17" s="15" t="n">
        <x:v>13</x:v>
      </x:c>
      <x:c r="H17" s="109" t="n">
        <x:v>0.0357020949685809</x:v>
      </x:c>
      <x:c r="I17" s="109" t="n">
        <x:v>0.04187955612599574</x:v>
      </x:c>
      <x:c r="J17" s="110" t="n">
        <x:v>14.182934687999989</x:v>
      </x:c>
      <x:c r="K17" s="15" t="str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5" t="n">
        <x:v>14</x:v>
      </x:c>
      <x:c r="B18" s="109" t="n">
        <x:v>0.0547929238907862</x:v>
      </x:c>
      <x:c r="C18" s="109" t="n">
        <x:v>0.04210770295691893</x:v>
      </x:c>
      <x:c r="D18" s="110" t="n">
        <x:v>9.522878750000018</x:v>
      </x:c>
      <x:c r="E18" s="15" t="str"/>
      <x:c r="F18" s="15"/>
      <x:c r="G18" s="15" t="n">
        <x:v>14</x:v>
      </x:c>
      <x:c r="H18" s="109" t="n">
        <x:v>0.03563446345821724</x:v>
      </x:c>
      <x:c r="I18" s="109" t="n">
        <x:v>0.04188241129032883</x:v>
      </x:c>
      <x:c r="J18" s="110" t="n">
        <x:v>14.214531968000017</x:v>
      </x:c>
      <x:c r="K18" s="15" t="str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5" t="n">
        <x:v>15</x:v>
      </x:c>
      <x:c r="B19" s="109" t="n">
        <x:v>0.05476844154247197</x:v>
      </x:c>
      <x:c r="C19" s="109" t="n">
        <x:v>0.04208142675045781</x:v>
      </x:c>
      <x:c r="D19" s="110" t="n">
        <x:v>9.415067067999985</x:v>
      </x:c>
      <x:c r="E19" s="15" t="str"/>
      <x:c r="F19" s="15"/>
      <x:c r="G19" s="15" t="n">
        <x:v>15</x:v>
      </x:c>
      <x:c r="H19" s="109" t="n">
        <x:v>0.03558104345583784</x:v>
      </x:c>
      <x:c r="I19" s="109" t="n">
        <x:v>0.04184950624203277</x:v>
      </x:c>
      <x:c r="J19" s="110" t="n">
        <x:v>14.162006462000022</x:v>
      </x:c>
      <x:c r="K19" s="15" t="str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5" t="n">
        <x:v>16</x:v>
      </x:c>
      <x:c r="B20" s="109" t="n">
        <x:v>0.054745765015138136</x:v>
      </x:c>
      <x:c r="C20" s="109" t="n">
        <x:v>0.04205565527774782</x:v>
      </x:c>
      <x:c r="D20" s="110" t="n">
        <x:v>9.50369080400003</x:v>
      </x:c>
      <x:c r="E20" s="15" t="str"/>
      <x:c r="F20" s="15"/>
      <x:c r="G20" s="15" t="n">
        <x:v>16</x:v>
      </x:c>
      <x:c r="H20" s="109" t="n">
        <x:v>0.03554002513850187</x:v>
      </x:c>
      <x:c r="I20" s="109" t="n">
        <x:v>0.04183166073057137</x:v>
      </x:c>
      <x:c r="J20" s="110" t="n">
        <x:v>14.28639562899997</x:v>
      </x:c>
      <x:c r="K20" s="15" t="str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5" t="n">
        <x:v>17</x:v>
      </x:c>
      <x:c r="B21" s="109" t="n">
        <x:v>0.054724519796484974</x:v>
      </x:c>
      <x:c r="C21" s="109" t="n">
        <x:v>0.042030676682333366</x:v>
      </x:c>
      <x:c r="D21" s="110" t="n">
        <x:v>9.380308470000045</x:v>
      </x:c>
      <x:c r="E21" s="15" t="str"/>
      <x:c r="F21" s="15"/>
      <x:c r="G21" s="15" t="n">
        <x:v>17</x:v>
      </x:c>
      <x:c r="H21" s="109" t="n">
        <x:v>0.035496475790068135</x:v>
      </x:c>
      <x:c r="I21" s="109" t="n">
        <x:v>0.041823152154990266</x:v>
      </x:c>
      <x:c r="J21" s="110" t="n">
        <x:v>14.168658804000017</x:v>
      </x:c>
      <x:c r="K21" s="15" t="str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5" t="n">
        <x:v>18</x:v>
      </x:c>
      <x:c r="B22" s="109" t="n">
        <x:v>0.0547040368089557</x:v>
      </x:c>
      <x:c r="C22" s="109" t="n">
        <x:v>0.04201084648457989</x:v>
      </x:c>
      <x:c r="D22" s="110" t="n">
        <x:v>9.422074897999892</x:v>
      </x:c>
      <x:c r="E22" s="15" t="str"/>
      <x:c r="F22" s="15"/>
      <x:c r="G22" s="15" t="n">
        <x:v>18</x:v>
      </x:c>
      <x:c r="H22" s="109" t="n">
        <x:v>0.035468768888205736</x:v>
      </x:c>
      <x:c r="I22" s="109" t="n">
        <x:v>0.04182185192385274</x:v>
      </x:c>
      <x:c r="J22" s="110" t="n">
        <x:v>14.19845684400002</x:v>
      </x:c>
      <x:c r="K22" s="15" t="str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5" t="n">
        <x:v>19</x:v>
      </x:c>
      <x:c r="B23" s="109" t="n">
        <x:v>0.05468428128629268</x:v>
      </x:c>
      <x:c r="C23" s="109" t="n">
        <x:v>0.041989882725454834</x:v>
      </x:c>
      <x:c r="D23" s="110" t="n">
        <x:v>9.437692577999997</x:v>
      </x:c>
      <x:c r="E23" s="15" t="str"/>
      <x:c r="F23" s="15"/>
      <x:c r="G23" s="15" t="n">
        <x:v>19</x:v>
      </x:c>
      <x:c r="H23" s="109" t="n">
        <x:v>0.035424617870016446</x:v>
      </x:c>
      <x:c r="I23" s="109" t="n">
        <x:v>0.04181808665570281</x:v>
      </x:c>
      <x:c r="J23" s="110" t="n">
        <x:v>14.197004704999983</x:v>
      </x:c>
      <x:c r="K23" s="15" t="str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5" t="n">
        <x:v>20</x:v>
      </x:c>
      <x:c r="B24" s="109" t="n">
        <x:v>0.05466528408096816</x:v>
      </x:c>
      <x:c r="C24" s="109" t="n">
        <x:v>0.04196536712357638</x:v>
      </x:c>
      <x:c r="D24" s="110" t="n">
        <x:v>9.390740867999966</x:v>
      </x:c>
      <x:c r="E24" s="15" t="str"/>
      <x:c r="F24" s="15"/>
      <x:c r="G24" s="15" t="n">
        <x:v>20</x:v>
      </x:c>
      <x:c r="H24" s="109" t="n">
        <x:v>0.03540577753425515</x:v>
      </x:c>
      <x:c r="I24" s="109" t="n">
        <x:v>0.041808979228576994</x:v>
      </x:c>
      <x:c r="J24" s="110" t="n">
        <x:v>14.175454505999994</x:v>
      </x:c>
      <x:c r="K24" s="15" t="str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" t="n">
        <x:v>21</x:v>
      </x:c>
      <x:c r="B25" s="109" t="n">
        <x:v>0.05464821101064849</x:v>
      </x:c>
      <x:c r="C25" s="109" t="n">
        <x:v>0.04194891627739204</x:v>
      </x:c>
      <x:c r="D25" s="110" t="n">
        <x:v>9.521602191999932</x:v>
      </x:c>
      <x:c r="E25" s="15" t="str"/>
      <x:c r="F25" s="15"/>
      <x:c r="G25" s="15" t="n">
        <x:v>21</x:v>
      </x:c>
      <x:c r="H25" s="109" t="n">
        <x:v>0.03537909473144142</x:v>
      </x:c>
      <x:c r="I25" s="109" t="n">
        <x:v>0.04180042479783803</x:v>
      </x:c>
      <x:c r="J25" s="110" t="n">
        <x:v>14.168168011000034</x:v>
      </x:c>
      <x:c r="K25" s="15" t="str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5" t="n">
        <x:v>22</x:v>
      </x:c>
      <x:c r="B26" s="109" t="n">
        <x:v>0.05463326192821421</x:v>
      </x:c>
      <x:c r="C26" s="109" t="n">
        <x:v>0.0419333273803498</x:v>
      </x:c>
      <x:c r="D26" s="110" t="n">
        <x:v>9.424913846000095</x:v>
      </x:c>
      <x:c r="E26" s="15" t="str"/>
      <x:c r="F26" s="15"/>
      <x:c r="G26" s="15" t="n">
        <x:v>22</x:v>
      </x:c>
      <x:c r="H26" s="109" t="n">
        <x:v>0.03535319936670959</x:v>
      </x:c>
      <x:c r="I26" s="109" t="n">
        <x:v>0.041791168990087633</x:v>
      </x:c>
      <x:c r="J26" s="110" t="n">
        <x:v>14.245464845000015</x:v>
      </x:c>
      <x:c r="K26" s="15" t="str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5" t="n">
        <x:v>23</x:v>
      </x:c>
      <x:c r="B27" s="109" t="n">
        <x:v>0.054619608055542494</x:v>
      </x:c>
      <x:c r="C27" s="109" t="n">
        <x:v>0.04191957838054246</x:v>
      </x:c>
      <x:c r="D27" s="110" t="n">
        <x:v>9.377856089000034</x:v>
      </x:c>
      <x:c r="E27" s="15" t="str"/>
      <x:c r="F27" s="15"/>
      <x:c r="G27" s="15" t="n">
        <x:v>23</x:v>
      </x:c>
      <x:c r="H27" s="109" t="n">
        <x:v>0.03533965589284782</x:v>
      </x:c>
      <x:c r="I27" s="109" t="n">
        <x:v>0.041785724982309515</x:v>
      </x:c>
      <x:c r="J27" s="110" t="n">
        <x:v>14.40679712399998</x:v>
      </x:c>
      <x:c r="K27" s="15" t="str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5" t="n">
        <x:v>24</x:v>
      </x:c>
      <x:c r="B28" s="109" t="n">
        <x:v>0.05460842911060044</x:v>
      </x:c>
      <x:c r="C28" s="109" t="n">
        <x:v>0.04191150006309738</x:v>
      </x:c>
      <x:c r="D28" s="110" t="n">
        <x:v>9.442380418000084</x:v>
      </x:c>
      <x:c r="E28" s="15" t="str"/>
      <x:c r="F28" s="15"/>
      <x:c r="G28" s="15" t="n">
        <x:v>24</x:v>
      </x:c>
      <x:c r="H28" s="109" t="n">
        <x:v>0.035319323642968</x:v>
      </x:c>
      <x:c r="I28" s="109" t="n">
        <x:v>0.041778886114783836</x:v>
      </x:c>
      <x:c r="J28" s="110" t="n">
        <x:v>14.238308082000003</x:v>
      </x:c>
      <x:c r="K28" s="15" t="str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" t="n">
        <x:v>25</x:v>
      </x:c>
      <x:c r="B29" s="109" t="n">
        <x:v>0.05459821622313254</x:v>
      </x:c>
      <x:c r="C29" s="109" t="n">
        <x:v>0.04190817210882727</x:v>
      </x:c>
      <x:c r="D29" s="110" t="n">
        <x:v>9.406039978999956</x:v>
      </x:c>
      <x:c r="E29" s="15" t="str"/>
      <x:c r="F29" s="15"/>
      <x:c r="G29" s="15" t="n">
        <x:v>25</x:v>
      </x:c>
      <x:c r="H29" s="109" t="n">
        <x:v>0.03530026836670063</x:v>
      </x:c>
      <x:c r="I29" s="109" t="n">
        <x:v>0.04176767834210546</x:v>
      </x:c>
      <x:c r="J29" s="110" t="n">
        <x:v>14.172952562999967</x:v>
      </x:c>
      <x:c r="K29" s="15" t="str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" t="n">
        <x:v>26</x:v>
      </x:c>
      <x:c r="B30" s="109" t="n">
        <x:v>0.054585586637934204</x:v>
      </x:c>
      <x:c r="C30" s="109" t="n">
        <x:v>0.04189395696785483</x:v>
      </x:c>
      <x:c r="D30" s="110" t="n">
        <x:v>9.504012324999962</x:v>
      </x:c>
      <x:c r="E30" s="15" t="str"/>
      <x:c r="F30" s="15"/>
      <x:c r="G30" s="15" t="n">
        <x:v>26</x:v>
      </x:c>
      <x:c r="H30" s="109" t="n">
        <x:v>0.03528677231595405</x:v>
      </x:c>
      <x:c r="I30" s="109" t="n">
        <x:v>0.0417685172717791</x:v>
      </x:c>
      <x:c r="J30" s="110" t="n">
        <x:v>14.318946996000022</x:v>
      </x:c>
      <x:c r="K30" s="15" t="str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5" t="n">
        <x:v>27</x:v>
      </x:c>
      <x:c r="B31" s="109" t="n">
        <x:v>0.0545797524841431</x:v>
      </x:c>
      <x:c r="C31" s="109" t="n">
        <x:v>0.04188686014874942</x:v>
      </x:c>
      <x:c r="D31" s="110" t="n">
        <x:v>9.397970888999907</x:v>
      </x:c>
      <x:c r="E31" s="15" t="str"/>
      <x:c r="F31" s="15"/>
      <x:c r="G31" s="15" t="n">
        <x:v>27</x:v>
      </x:c>
      <x:c r="H31" s="109" t="n">
        <x:v>0.03527068163924798</x:v>
      </x:c>
      <x:c r="I31" s="109" t="n">
        <x:v>0.04176753854948457</x:v>
      </x:c>
      <x:c r="J31" s="110" t="n">
        <x:v>14.288611788000026</x:v>
      </x:c>
      <x:c r="K31" s="15" t="str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5" t="n">
        <x:v>28</x:v>
      </x:c>
      <x:c r="B32" s="109" t="n">
        <x:v>0.054566530141112776</x:v>
      </x:c>
      <x:c r="C32" s="109" t="n">
        <x:v>0.041882229409723026</x:v>
      </x:c>
      <x:c r="D32" s="110" t="n">
        <x:v>9.403901647999987</x:v>
      </x:c>
      <x:c r="E32" s="15" t="str"/>
      <x:c r="F32" s="15"/>
      <x:c r="G32" s="15" t="n">
        <x:v>28</x:v>
      </x:c>
      <x:c r="H32" s="109" t="n">
        <x:v>0.03525779153036839</x:v>
      </x:c>
      <x:c r="I32" s="109" t="n">
        <x:v>0.041778392330507626</x:v>
      </x:c>
      <x:c r="J32" s="110" t="n">
        <x:v>14.29759377900001</x:v>
      </x:c>
      <x:c r="K32" s="15" t="str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5" t="n">
        <x:v>29</x:v>
      </x:c>
      <x:c r="B33" s="109" t="n">
        <x:v>0.05455886897372307</x:v>
      </x:c>
      <x:c r="C33" s="109" t="n">
        <x:v>0.04187580562051848</x:v>
      </x:c>
      <x:c r="D33" s="110" t="n">
        <x:v>9.459586821000016</x:v>
      </x:c>
      <x:c r="E33" s="15" t="str"/>
      <x:c r="F33" s="15"/>
      <x:c r="G33" s="15" t="n">
        <x:v>29</x:v>
      </x:c>
      <x:c r="H33" s="109" t="n">
        <x:v>0.035248814974609084</x:v>
      </x:c>
      <x:c r="I33" s="109" t="n">
        <x:v>0.04176450142530829</x:v>
      </x:c>
      <x:c r="J33" s="110" t="n">
        <x:v>14.333634177000022</x:v>
      </x:c>
      <x:c r="K33" s="15" t="str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5" t="n">
        <x:v>30</x:v>
      </x:c>
      <x:c r="B34" s="109" t="n">
        <x:v>0.05455143938226321</x:v>
      </x:c>
      <x:c r="C34" s="109" t="n">
        <x:v>0.0418703958164203</x:v>
      </x:c>
      <x:c r="D34" s="110" t="n">
        <x:v>9.371171188000062</x:v>
      </x:c>
      <x:c r="E34" s="15" t="str"/>
      <x:c r="F34" s="15"/>
      <x:c r="G34" s="15" t="n">
        <x:v>30</x:v>
      </x:c>
      <x:c r="H34" s="109" t="n">
        <x:v>0.03523498085042042</x:v>
      </x:c>
      <x:c r="I34" s="109" t="n">
        <x:v>0.04177913758433296</x:v>
      </x:c>
      <x:c r="J34" s="110" t="n">
        <x:v>14.416283745999976</x:v>
      </x:c>
      <x:c r="K34" s="15" t="str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5" t="n">
        <x:v>31</x:v>
      </x:c>
      <x:c r="B35" s="109" t="n">
        <x:v>0.05454533099062692</x:v>
      </x:c>
      <x:c r="C35" s="109" t="n">
        <x:v>0.04186715142784687</x:v>
      </x:c>
      <x:c r="D35" s="110" t="n">
        <x:v>9.576162998999962</x:v>
      </x:c>
      <x:c r="E35" s="15" t="str"/>
      <x:c r="F35" s="15"/>
      <x:c r="G35" s="15" t="n">
        <x:v>31</x:v>
      </x:c>
      <x:c r="H35" s="109" t="n">
        <x:v>0.035228552083737597</x:v>
      </x:c>
      <x:c r="I35" s="109" t="n">
        <x:v>0.04176915643432379</x:v>
      </x:c>
      <x:c r="J35" s="110" t="n">
        <x:v>14.350626958999953</x:v>
      </x:c>
      <x:c r="K35" s="15" t="str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5" t="n">
        <x:v>32</x:v>
      </x:c>
      <x:c r="B36" s="109" t="n">
        <x:v>0.05453764859432329</x:v>
      </x:c>
      <x:c r="C36" s="109" t="n">
        <x:v>0.041856502317597126</x:v>
      </x:c>
      <x:c r="D36" s="110" t="n">
        <x:v>9.431068528999958</x:v>
      </x:c>
      <x:c r="E36" s="15" t="str"/>
      <x:c r="F36" s="15"/>
      <x:c r="G36" s="15" t="n">
        <x:v>32</x:v>
      </x:c>
      <x:c r="H36" s="109" t="n">
        <x:v>0.03521244960210217</x:v>
      </x:c>
      <x:c r="I36" s="109" t="n">
        <x:v>0.041758876117380155</x:v>
      </x:c>
      <x:c r="J36" s="110" t="n">
        <x:v>14.562070675000086</x:v>
      </x:c>
      <x:c r="K36" s="15" t="str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5" t="n">
        <x:v>33</x:v>
      </x:c>
      <x:c r="B37" s="109" t="n">
        <x:v>0.05453022537522781</x:v>
      </x:c>
      <x:c r="C37" s="109" t="n">
        <x:v>0.04185060973348221</x:v>
      </x:c>
      <x:c r="D37" s="110" t="n">
        <x:v>9.493371489000083</x:v>
      </x:c>
      <x:c r="E37" s="15" t="str"/>
      <x:c r="F37" s="15"/>
      <x:c r="G37" s="15" t="n">
        <x:v>33</x:v>
      </x:c>
      <x:c r="H37" s="109" t="n">
        <x:v>0.03520802701366893</x:v>
      </x:c>
      <x:c r="I37" s="109" t="n">
        <x:v>0.04174856967806146</x:v>
      </x:c>
      <x:c r="J37" s="110" t="n">
        <x:v>14.46952089499996</x:v>
      </x:c>
      <x:c r="K37" s="15" t="str">
        <x:v>是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5" t="n">
        <x:v>34</x:v>
      </x:c>
      <x:c r="B38" s="109" t="n">
        <x:v>0.05452593440395041</x:v>
      </x:c>
      <x:c r="C38" s="109" t="n">
        <x:v>0.04185233438500524</x:v>
      </x:c>
      <x:c r="D38" s="110" t="n">
        <x:v>9.519725580000113</x:v>
      </x:c>
      <x:c r="E38" s="15" t="str"/>
      <x:c r="F38" s="15"/>
      <x:c r="G38" s="15" t="n">
        <x:v>34</x:v>
      </x:c>
      <x:c r="H38" s="109" t="n">
        <x:v>0.03519955938794583</x:v>
      </x:c>
      <x:c r="I38" s="109" t="n">
        <x:v>0.04175797411241516</x:v>
      </x:c>
      <x:c r="J38" s="110" t="n">
        <x:v>14.308563704999983</x:v>
      </x:c>
      <x:c r="K38" s="15" t="str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5" t="n">
        <x:v>35</x:v>
      </x:c>
      <x:c r="B39" s="109" t="n">
        <x:v>0.05451784758630318</x:v>
      </x:c>
      <x:c r="C39" s="109" t="n">
        <x:v>0.04184357549126126</x:v>
      </x:c>
      <x:c r="D39" s="110" t="n">
        <x:v>9.434953347999908</x:v>
      </x:c>
      <x:c r="E39" s="15" t="str"/>
      <x:c r="F39" s="15"/>
      <x:c r="G39" s="15" t="n">
        <x:v>35</x:v>
      </x:c>
      <x:c r="H39" s="109" t="n">
        <x:v>0.03519046768732805</x:v>
      </x:c>
      <x:c r="I39" s="109" t="n">
        <x:v>0.0417775216298465</x:v>
      </x:c>
      <x:c r="J39" s="110" t="n">
        <x:v>14.31827547499995</x:v>
      </x:c>
      <x:c r="K39" s="15" t="str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5" t="n">
        <x:v>36</x:v>
      </x:c>
      <x:c r="B40" s="109" t="n">
        <x:v>0.054512426515188124</x:v>
      </x:c>
      <x:c r="C40" s="109" t="n">
        <x:v>0.041837515371502945</x:v>
      </x:c>
      <x:c r="D40" s="110" t="n">
        <x:v>9.573492213000009</x:v>
      </x:c>
      <x:c r="E40" s="15" t="str"/>
      <x:c r="F40" s="15"/>
      <x:c r="G40" s="15"/>
      <x:c r="H40" s="15"/>
      <x:c r="I40" s="15"/>
      <x:c r="J40" s="15"/>
      <x:c r="K40" s="15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5" t="n">
        <x:v>37</x:v>
      </x:c>
      <x:c r="B41" s="109" t="n">
        <x:v>0.05450581630317018</x:v>
      </x:c>
      <x:c r="C41" s="109" t="n">
        <x:v>0.04183554643687492</x:v>
      </x:c>
      <x:c r="D41" s="110" t="n">
        <x:v>10.410152342999936</x:v>
      </x:c>
      <x:c r="E41" s="15" t="str"/>
      <x:c r="F41" s="15"/>
      <x:c r="G41" s="15"/>
      <x:c r="H41" s="15"/>
      <x:c r="I41" s="15"/>
      <x:c r="J41" s="15"/>
      <x:c r="K41" s="15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5" t="n">
        <x:v>38</x:v>
      </x:c>
      <x:c r="B42" s="109" t="n">
        <x:v>0.054501493616639675</x:v>
      </x:c>
      <x:c r="C42" s="109" t="n">
        <x:v>0.041840484362901956</x:v>
      </x:c>
      <x:c r="D42" s="110" t="n">
        <x:v>9.661521988999993</x:v>
      </x:c>
      <x:c r="E42" s="15" t="str"/>
      <x:c r="F42" s="15"/>
      <x:c r="G42" s="15"/>
      <x:c r="H42" s="15"/>
      <x:c r="I42" s="15"/>
      <x:c r="J42" s="15"/>
      <x:c r="K42" s="15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5" t="n">
        <x:v>39</x:v>
      </x:c>
      <x:c r="B43" s="109" t="n">
        <x:v>0.054495435004167925</x:v>
      </x:c>
      <x:c r="C43" s="109" t="n">
        <x:v>0.04182485665296977</x:v>
      </x:c>
      <x:c r="D43" s="110" t="n">
        <x:v>9.58375206400001</x:v>
      </x:c>
      <x:c r="E43" s="15" t="str">
        <x:v>是</x:v>
      </x:c>
      <x:c r="F43" s="15"/>
      <x:c r="G43" s="15"/>
      <x:c r="H43" s="15"/>
      <x:c r="I43" s="15"/>
      <x:c r="J43" s="15"/>
      <x:c r="K43" s="15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5" t="n">
        <x:v>40</x:v>
      </x:c>
      <x:c r="B44" s="109" t="n">
        <x:v>0.054489915069712826</x:v>
      </x:c>
      <x:c r="C44" s="109" t="n">
        <x:v>0.04182814046455321</x:v>
      </x:c>
      <x:c r="D44" s="110" t="n">
        <x:v>9.393222340999955</x:v>
      </x:c>
      <x:c r="E44" s="15" t="str"/>
      <x:c r="F44" s="15"/>
      <x:c r="G44" s="15"/>
      <x:c r="H44" s="15"/>
      <x:c r="I44" s="15"/>
      <x:c r="J44" s="15"/>
      <x:c r="K44" s="15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5" t="n">
        <x:v>41</x:v>
      </x:c>
      <x:c r="B45" s="109" t="n">
        <x:v>0.05448296801444265</x:v>
      </x:c>
      <x:c r="C45" s="109" t="n">
        <x:v>0.04182536381328533</x:v>
      </x:c>
      <x:c r="D45" s="110" t="n">
        <x:v>9.474962753</x:v>
      </x:c>
      <x:c r="E45" s="15" t="str"/>
      <x:c r="F45" s="15"/>
      <x:c r="G45" s="15"/>
      <x:c r="H45" s="15"/>
      <x:c r="I45" s="15"/>
      <x:c r="J45" s="15"/>
      <x:c r="K45" s="15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5" t="n">
        <x:v>42</x:v>
      </x:c>
      <x:c r="B46" s="109" t="n">
        <x:v>0.054478165346627985</x:v>
      </x:c>
      <x:c r="C46" s="109" t="n">
        <x:v>0.04182681603271737</x:v>
      </x:c>
      <x:c r="D46" s="110" t="n">
        <x:v>9.271880711999984</x:v>
      </x:c>
      <x:c r="E46" s="15" t="str"/>
      <x:c r="F46" s="15"/>
      <x:c r="G46" s="15"/>
      <x:c r="H46" s="15"/>
      <x:c r="I46" s="15"/>
      <x:c r="J46" s="15"/>
      <x:c r="K46" s="15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5" t="n">
        <x:v>43</x:v>
      </x:c>
      <x:c r="B47" s="109" t="n">
        <x:v>0.0544736308228788</x:v>
      </x:c>
      <x:c r="C47" s="109" t="n">
        <x:v>0.04182848249930999</x:v>
      </x:c>
      <x:c r="D47" s="110" t="n">
        <x:v>9.395870753000054</x:v>
      </x:c>
      <x:c r="E47" s="15" t="str"/>
      <x:c r="F47" s="15"/>
      <x:c r="G47" s="15"/>
      <x:c r="H47" s="15"/>
      <x:c r="I47" s="15"/>
      <x:c r="J47" s="15"/>
      <x:c r="K47" s="15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5" t="n">
        <x:v>44</x:v>
      </x:c>
      <x:c r="B48" s="109" t="n">
        <x:v>0.0544641809322095</x:v>
      </x:c>
      <x:c r="C48" s="109" t="n">
        <x:v>0.04182894175615492</x:v>
      </x:c>
      <x:c r="D48" s="110" t="n">
        <x:v>9.371540328000037</x:v>
      </x:c>
      <x:c r="E48" s="15" t="str"/>
      <x:c r="F48" s="15"/>
      <x:c r="G48" s="15"/>
      <x:c r="H48" s="15"/>
      <x:c r="I48" s="15"/>
      <x:c r="J48" s="15"/>
      <x:c r="K48" s="15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5" t="n">
        <x:v>45</x:v>
      </x:c>
      <x:c r="B49" s="109" t="n">
        <x:v>0.054457069360912574</x:v>
      </x:c>
      <x:c r="C49" s="109" t="n">
        <x:v>0.04183965742774976</x:v>
      </x:c>
      <x:c r="D49" s="110" t="n">
        <x:v>9.416596586999958</x:v>
      </x:c>
      <x:c r="E49" s="15" t="str"/>
      <x:c r="F49" s="15"/>
      <x:c r="G49" s="15"/>
      <x:c r="H49" s="15"/>
      <x:c r="I49" s="15"/>
      <x:c r="J49" s="15"/>
      <x:c r="K49" s="15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5" t="n">
        <x:v>46</x:v>
      </x:c>
      <x:c r="B50" s="109" t="n">
        <x:v>0.05444518526836947</x:v>
      </x:c>
      <x:c r="C50" s="109" t="n">
        <x:v>0.04185539013695819</x:v>
      </x:c>
      <x:c r="D50" s="110" t="n">
        <x:v>9.462033504000146</x:v>
      </x:c>
      <x:c r="E50" s="15" t="str"/>
      <x:c r="F50" s="15"/>
      <x:c r="G50" s="15"/>
      <x:c r="H50" s="15"/>
      <x:c r="I50" s="15"/>
      <x:c r="J50" s="15"/>
      <x:c r="K50" s="15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5" t="n">
        <x:v>47</x:v>
      </x:c>
      <x:c r="B51" s="109" t="n">
        <x:v>0.05443478984929991</x:v>
      </x:c>
      <x:c r="C51" s="109" t="n">
        <x:v>0.04186296449954927</x:v>
      </x:c>
      <x:c r="D51" s="110" t="n">
        <x:v>9.355623411999886</x:v>
      </x:c>
      <x:c r="E51" s="15" t="str"/>
      <x:c r="F51" s="15"/>
      <x:c r="G51" s="15"/>
      <x:c r="H51" s="15"/>
      <x:c r="I51" s="15"/>
      <x:c r="J51" s="15"/>
      <x:c r="K51" s="15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5" t="n">
        <x:v>48</x:v>
      </x:c>
      <x:c r="B52" s="109" t="n">
        <x:v>0.054417472516446734</x:v>
      </x:c>
      <x:c r="C52" s="109" t="n">
        <x:v>0.04188620902299503</x:v>
      </x:c>
      <x:c r="D52" s="110" t="n">
        <x:v>9.431475494000097</x:v>
      </x:c>
      <x:c r="E52" s="15" t="str"/>
      <x:c r="F52" s="15"/>
      <x:c r="G52" s="15"/>
      <x:c r="H52" s="15"/>
      <x:c r="I52" s="15"/>
      <x:c r="J52" s="15"/>
      <x:c r="K52" s="15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5" t="n">
        <x:v>49</x:v>
      </x:c>
      <x:c r="B53" s="109" t="n">
        <x:v>0.054390996947595235</x:v>
      </x:c>
      <x:c r="C53" s="109" t="n">
        <x:v>0.041932435751767874</x:v>
      </x:c>
      <x:c r="D53" s="110" t="n">
        <x:v>9.454943376000074</x:v>
      </x:c>
      <x:c r="E53" s="15" t="str"/>
      <x:c r="F53" s="15"/>
      <x:c r="G53" s="15"/>
      <x:c r="H53" s="15"/>
      <x:c r="I53" s="15"/>
      <x:c r="J53" s="15"/>
      <x:c r="K53" s="15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5" t="n">
        <x:v>50</x:v>
      </x:c>
      <x:c r="B54" s="109" t="n">
        <x:v>0.05434763697997635</x:v>
      </x:c>
      <x:c r="C54" s="109" t="n">
        <x:v>0.042011191336564876</x:v>
      </x:c>
      <x:c r="D54" s="110" t="n">
        <x:v>9.331119360000002</x:v>
      </x:c>
      <x:c r="E54" s="15" t="str"/>
      <x:c r="F54" s="15"/>
      <x:c r="G54" s="15"/>
      <x:c r="H54" s="15"/>
      <x:c r="I54" s="15"/>
      <x:c r="J54" s="15"/>
      <x:c r="K54" s="15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conditionalFormatting sqref="E5:E54">
    <x:cfRule type="containsText" dxfId="1" priority="1" operator="containsText" text="是"/>
  </x:conditionalFormatting>
  <x:conditionalFormatting sqref="K5:K39">
    <x:cfRule type="containsText" dxfId="2" priority="2" operator="containsText" text="是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68" hidden="0" customWidth="1"/>
  </x:cols>
  <x:sheetData>
    <x:row r="1">
      <x:c r="A1" s="15"/>
      <x:c r="B1" s="15"/>
      <x:c r="C1" s="15"/>
      <x:c r="D1" s="15"/>
      <x:c r="E1" s="15"/>
      <x:c r="F1" s="15"/>
      <x:c r="G1" s="15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8" t="str">
        <x:v>新仿真数据按完整飞行划分</x:v>
      </x:c>
      <x:c r="B2" s="15"/>
      <x:c r="C2" s="15"/>
      <x:c r="D2" s="15"/>
      <x:c r="E2" s="15"/>
      <x:c r="F2" s="15"/>
      <x:c r="G2" s="15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0" customHeight="1">
      <x:c r="A3" s="47" t="str">
        <x:v>分组</x:v>
      </x:c>
      <x:c r="B3" s="48" t="str">
        <x:v>飞行ID</x:v>
      </x:c>
      <x:c r="C3" s="48" t="str">
        <x:v>实际CSV文件</x:v>
      </x:c>
      <x:c r="D3" s="48" t="str">
        <x:v>行数</x:v>
      </x:c>
      <x:c r="E3" s="48" t="str">
        <x:v>采样率（Hz）</x:v>
      </x:c>
      <x:c r="F3" s="48" t="str">
        <x:v>时长（s）</x:v>
      </x:c>
      <x:c r="G3" s="49" t="str">
        <x:v>CSV SHA-256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4" t="str">
        <x:v>训练集</x:v>
      </x:c>
      <x:c r="B4" s="15" t="str">
        <x:v>train_01</x:v>
      </x:c>
      <x:c r="C4" s="15" t="str">
        <x:v>train_01_attempt01.csv</x:v>
      </x:c>
      <x:c r="D4" s="105" t="n">
        <x:v>9000</x:v>
      </x:c>
      <x:c r="E4" s="105" t="n">
        <x:v>50</x:v>
      </x:c>
      <x:c r="F4" s="105" t="n">
        <x:v>180</x:v>
      </x:c>
      <x:c r="G4" s="16" t="str">
        <x:v>4d76e2402d23e89ecf4a469f66ed1299ddee71fc8880a12261a32aba3faa7c6d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4" t="str">
        <x:v>训练集</x:v>
      </x:c>
      <x:c r="B5" s="15" t="str">
        <x:v>train_02</x:v>
      </x:c>
      <x:c r="C5" s="15" t="str">
        <x:v>train_02_attempt02.csv</x:v>
      </x:c>
      <x:c r="D5" s="105" t="n">
        <x:v>9000</x:v>
      </x:c>
      <x:c r="E5" s="105" t="n">
        <x:v>50</x:v>
      </x:c>
      <x:c r="F5" s="105" t="n">
        <x:v>180</x:v>
      </x:c>
      <x:c r="G5" s="16" t="str">
        <x:v>ebdd3a2d663e5091a5ee58f897f22399ff1998bd7e7eec4bb90b8df438670c7c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4" t="str">
        <x:v>训练集</x:v>
      </x:c>
      <x:c r="B6" s="15" t="str">
        <x:v>train_03</x:v>
      </x:c>
      <x:c r="C6" s="15" t="str">
        <x:v>train_03_attempt01.csv</x:v>
      </x:c>
      <x:c r="D6" s="105" t="n">
        <x:v>9000</x:v>
      </x:c>
      <x:c r="E6" s="105" t="n">
        <x:v>50</x:v>
      </x:c>
      <x:c r="F6" s="105" t="n">
        <x:v>180</x:v>
      </x:c>
      <x:c r="G6" s="16" t="str">
        <x:v>3f114ac761b244393045d017d216e4076f17c303dfc9c07d05056b2b36581d0b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4" t="str">
        <x:v>训练集</x:v>
      </x:c>
      <x:c r="B7" s="15" t="str">
        <x:v>train_04</x:v>
      </x:c>
      <x:c r="C7" s="15" t="str">
        <x:v>train_04_attempt01.csv</x:v>
      </x:c>
      <x:c r="D7" s="105" t="n">
        <x:v>9000</x:v>
      </x:c>
      <x:c r="E7" s="105" t="n">
        <x:v>50</x:v>
      </x:c>
      <x:c r="F7" s="105" t="n">
        <x:v>180</x:v>
      </x:c>
      <x:c r="G7" s="16" t="str">
        <x:v>32453427fe1e159446d8bf2752614736c362eb96badd0c2c349e1273796d7a25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4" t="str">
        <x:v>训练集</x:v>
      </x:c>
      <x:c r="B8" s="15" t="str">
        <x:v>train_05</x:v>
      </x:c>
      <x:c r="C8" s="15" t="str">
        <x:v>train_05_attempt01.csv</x:v>
      </x:c>
      <x:c r="D8" s="105" t="n">
        <x:v>9000</x:v>
      </x:c>
      <x:c r="E8" s="105" t="n">
        <x:v>50</x:v>
      </x:c>
      <x:c r="F8" s="105" t="n">
        <x:v>180</x:v>
      </x:c>
      <x:c r="G8" s="16" t="str">
        <x:v>54940dcb79ddbd4cabf09b66b96121d299a15a6bfc3f2227370c5830f7c8a7e0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4" t="str">
        <x:v>训练集</x:v>
      </x:c>
      <x:c r="B9" s="15" t="str">
        <x:v>train_06</x:v>
      </x:c>
      <x:c r="C9" s="15" t="str">
        <x:v>train_06_attempt01.csv</x:v>
      </x:c>
      <x:c r="D9" s="105" t="n">
        <x:v>9000</x:v>
      </x:c>
      <x:c r="E9" s="105" t="n">
        <x:v>50</x:v>
      </x:c>
      <x:c r="F9" s="105" t="n">
        <x:v>180</x:v>
      </x:c>
      <x:c r="G9" s="16" t="str">
        <x:v>a252190e7dcb7695e93dd462a7200cefcf37065b56e73a66d8fddde92f512b4c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4" t="str">
        <x:v>训练集</x:v>
      </x:c>
      <x:c r="B10" s="15" t="str">
        <x:v>train_07</x:v>
      </x:c>
      <x:c r="C10" s="15" t="str">
        <x:v>train_07_attempt01.csv</x:v>
      </x:c>
      <x:c r="D10" s="105" t="n">
        <x:v>9000</x:v>
      </x:c>
      <x:c r="E10" s="105" t="n">
        <x:v>50</x:v>
      </x:c>
      <x:c r="F10" s="105" t="n">
        <x:v>180</x:v>
      </x:c>
      <x:c r="G10" s="16" t="str">
        <x:v>ed18fe65c4f32b3e79d01aa89697e362c47097943fd85beec71338a48124292a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4" t="str">
        <x:v>训练集</x:v>
      </x:c>
      <x:c r="B11" s="15" t="str">
        <x:v>train_08</x:v>
      </x:c>
      <x:c r="C11" s="15" t="str">
        <x:v>train_08_attempt01.csv</x:v>
      </x:c>
      <x:c r="D11" s="105" t="n">
        <x:v>9000</x:v>
      </x:c>
      <x:c r="E11" s="105" t="n">
        <x:v>50</x:v>
      </x:c>
      <x:c r="F11" s="105" t="n">
        <x:v>180</x:v>
      </x:c>
      <x:c r="G11" s="16" t="str">
        <x:v>1db4bbb2d81cf2b7fb3ce3b326ff58ee0c67c706028151c20792feec7e6d9f19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4" t="str">
        <x:v>训练集</x:v>
      </x:c>
      <x:c r="B12" s="15" t="str">
        <x:v>train_09</x:v>
      </x:c>
      <x:c r="C12" s="15" t="str">
        <x:v>train_09_attempt02.csv</x:v>
      </x:c>
      <x:c r="D12" s="105" t="n">
        <x:v>9000</x:v>
      </x:c>
      <x:c r="E12" s="105" t="n">
        <x:v>50</x:v>
      </x:c>
      <x:c r="F12" s="105" t="n">
        <x:v>180</x:v>
      </x:c>
      <x:c r="G12" s="16" t="str">
        <x:v>60c930e58a7f98d0ddc4f2f0fc2f8261d00ce92bf20cfacb96d3e7311ffae2a4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4" t="str">
        <x:v>训练集</x:v>
      </x:c>
      <x:c r="B13" s="15" t="str">
        <x:v>train_10</x:v>
      </x:c>
      <x:c r="C13" s="15" t="str">
        <x:v>train_10_attempt01.csv</x:v>
      </x:c>
      <x:c r="D13" s="105" t="n">
        <x:v>9000</x:v>
      </x:c>
      <x:c r="E13" s="105" t="n">
        <x:v>50</x:v>
      </x:c>
      <x:c r="F13" s="105" t="n">
        <x:v>180</x:v>
      </x:c>
      <x:c r="G13" s="16" t="str">
        <x:v>b29c8b5fc5c261821616501ce5b69c3e3c38528cc51bfc2ea90c589a73b28afc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4" t="str">
        <x:v>验证集</x:v>
      </x:c>
      <x:c r="B14" s="15" t="str">
        <x:v>validation_01</x:v>
      </x:c>
      <x:c r="C14" s="15" t="str">
        <x:v>validation_01_attempt02.csv</x:v>
      </x:c>
      <x:c r="D14" s="105" t="n">
        <x:v>9000</x:v>
      </x:c>
      <x:c r="E14" s="105" t="n">
        <x:v>50</x:v>
      </x:c>
      <x:c r="F14" s="105" t="n">
        <x:v>180</x:v>
      </x:c>
      <x:c r="G14" s="16" t="str">
        <x:v>29d5a7f711298eb3b899136c5a7e7a373add6ee09703473e9ba112887071a2be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4" t="str">
        <x:v>验证集</x:v>
      </x:c>
      <x:c r="B15" s="15" t="str">
        <x:v>validation_02</x:v>
      </x:c>
      <x:c r="C15" s="15" t="str">
        <x:v>validation_02_attempt02.csv</x:v>
      </x:c>
      <x:c r="D15" s="105" t="n">
        <x:v>9000</x:v>
      </x:c>
      <x:c r="E15" s="105" t="n">
        <x:v>50</x:v>
      </x:c>
      <x:c r="F15" s="105" t="n">
        <x:v>180</x:v>
      </x:c>
      <x:c r="G15" s="16" t="str">
        <x:v>0cf9fe9d2a07096b182146678df9e2082f7747ec27b1df6649559d92b909605f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4" t="str">
        <x:v>验证集</x:v>
      </x:c>
      <x:c r="B16" s="15" t="str">
        <x:v>validation_03</x:v>
      </x:c>
      <x:c r="C16" s="15" t="str">
        <x:v>validation_03_attempt01.csv</x:v>
      </x:c>
      <x:c r="D16" s="105" t="n">
        <x:v>9000</x:v>
      </x:c>
      <x:c r="E16" s="105" t="n">
        <x:v>50</x:v>
      </x:c>
      <x:c r="F16" s="105" t="n">
        <x:v>180</x:v>
      </x:c>
      <x:c r="G16" s="16" t="str">
        <x:v>d65303ffa85d0294c7cadad920b657635bf2dcfab31c88c35d6cba8f60267ddf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4" t="str">
        <x:v>验证集</x:v>
      </x:c>
      <x:c r="B17" s="15" t="str">
        <x:v>validation_04</x:v>
      </x:c>
      <x:c r="C17" s="15" t="str">
        <x:v>validation_04_attempt02.csv</x:v>
      </x:c>
      <x:c r="D17" s="105" t="n">
        <x:v>9000</x:v>
      </x:c>
      <x:c r="E17" s="105" t="n">
        <x:v>50</x:v>
      </x:c>
      <x:c r="F17" s="105" t="n">
        <x:v>180</x:v>
      </x:c>
      <x:c r="G17" s="16" t="str">
        <x:v>f13d147a9c2505e9a660f247e67b73fad24ec48960be35aa5f077803972cd6bc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4" t="str">
        <x:v>测试集</x:v>
      </x:c>
      <x:c r="B18" s="15" t="str">
        <x:v>test_01</x:v>
      </x:c>
      <x:c r="C18" s="15" t="str">
        <x:v>test_01_attempt01.csv</x:v>
      </x:c>
      <x:c r="D18" s="105" t="n">
        <x:v>9000</x:v>
      </x:c>
      <x:c r="E18" s="105" t="n">
        <x:v>50</x:v>
      </x:c>
      <x:c r="F18" s="105" t="n">
        <x:v>180</x:v>
      </x:c>
      <x:c r="G18" s="16" t="str">
        <x:v>b70ddf881638850d54d020a0ba256a0719ef8ed49ae379ef359e2708342e0cc6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4" t="str">
        <x:v>测试集</x:v>
      </x:c>
      <x:c r="B19" s="15" t="str">
        <x:v>test_02</x:v>
      </x:c>
      <x:c r="C19" s="15" t="str">
        <x:v>test_02_attempt01.csv</x:v>
      </x:c>
      <x:c r="D19" s="105" t="n">
        <x:v>9000</x:v>
      </x:c>
      <x:c r="E19" s="105" t="n">
        <x:v>50</x:v>
      </x:c>
      <x:c r="F19" s="105" t="n">
        <x:v>180</x:v>
      </x:c>
      <x:c r="G19" s="16" t="str">
        <x:v>5bb6ee2f7982220c454924f521149d501ed902061fdfd7dc5141accee000645c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4" t="str">
        <x:v>测试集</x:v>
      </x:c>
      <x:c r="B20" s="15" t="str">
        <x:v>test_03</x:v>
      </x:c>
      <x:c r="C20" s="15" t="str">
        <x:v>test_03_attempt04.csv</x:v>
      </x:c>
      <x:c r="D20" s="105" t="n">
        <x:v>9000</x:v>
      </x:c>
      <x:c r="E20" s="105" t="n">
        <x:v>50</x:v>
      </x:c>
      <x:c r="F20" s="105" t="n">
        <x:v>180</x:v>
      </x:c>
      <x:c r="G20" s="16" t="str">
        <x:v>b7427d35e5a96219b00b8b4161997cbfd5ebe934148538c16144b77795d8806c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7" t="str">
        <x:v>测试集</x:v>
      </x:c>
      <x:c r="B21" s="18" t="str">
        <x:v>test_04</x:v>
      </x:c>
      <x:c r="C21" s="18" t="str">
        <x:v>test_04_attempt02.csv</x:v>
      </x:c>
      <x:c r="D21" s="106" t="n">
        <x:v>9000</x:v>
      </x:c>
      <x:c r="E21" s="106" t="n">
        <x:v>50</x:v>
      </x:c>
      <x:c r="F21" s="106" t="n">
        <x:v>180</x:v>
      </x:c>
      <x:c r="G21" s="19" t="str">
        <x:v>919e0076ae4c2c5cfebb1558cf0a410925cf79f6f270023401bc42a50ed4003e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5"/>
      <x:c r="B22" s="15"/>
      <x:c r="C22" s="15"/>
      <x:c r="D22" s="15"/>
      <x:c r="E22" s="15"/>
      <x:c r="F22" s="15"/>
      <x:c r="G22" s="15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5"/>
      <x:c r="B23" s="15"/>
      <x:c r="C23" s="15"/>
      <x:c r="D23" s="15"/>
      <x:c r="E23" s="15"/>
      <x:c r="F23" s="15"/>
      <x:c r="G23" s="15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5"/>
      <x:c r="B24" s="15"/>
      <x:c r="C24" s="15"/>
      <x:c r="D24" s="15"/>
      <x:c r="E24" s="15"/>
      <x:c r="F24" s="15"/>
      <x:c r="G24" s="15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"/>
      <x:c r="B25" s="15"/>
      <x:c r="C25" s="15"/>
      <x:c r="D25" s="15"/>
      <x:c r="E25" s="15"/>
      <x:c r="F25" s="15"/>
      <x:c r="G25" s="15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5"/>
      <x:c r="B26" s="15"/>
      <x:c r="C26" s="15"/>
      <x:c r="D26" s="15"/>
      <x:c r="E26" s="15"/>
      <x:c r="F26" s="15"/>
      <x:c r="G26" s="15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5"/>
      <x:c r="B27" s="15"/>
      <x:c r="C27" s="15"/>
      <x:c r="D27" s="15"/>
      <x:c r="E27" s="15"/>
      <x:c r="F27" s="15"/>
      <x:c r="G27" s="15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5"/>
      <x:c r="B28" s="15"/>
      <x:c r="C28" s="15"/>
      <x:c r="D28" s="15"/>
      <x:c r="E28" s="15"/>
      <x:c r="F28" s="15"/>
      <x:c r="G28" s="15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"/>
      <x:c r="B29" s="15"/>
      <x:c r="C29" s="15"/>
      <x:c r="D29" s="15"/>
      <x:c r="E29" s="15"/>
      <x:c r="F29" s="15"/>
      <x:c r="G29" s="15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"/>
      <x:c r="B30" s="15"/>
      <x:c r="C30" s="15"/>
      <x:c r="D30" s="15"/>
      <x:c r="E30" s="15"/>
      <x:c r="F30" s="15"/>
      <x:c r="G30" s="15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conditionalFormatting sqref="A4:A21">
    <x:cfRule type="containsText" dxfId="3" priority="1" operator="containsText" text="训练集"/>
    <x:cfRule type="containsText" dxfId="4" priority="2" operator="containsText" text="验证集"/>
    <x:cfRule type="containsText" dxfId="5" priority="3" operator="containsText" text="测试集"/>
  </x:conditionalFormatting>
  <x:pageMargins left="0.7" right="0.7" top="0.75" bottom="0.75" header="0.3" footer="0.3"/>
</x:worksheet>
</file>